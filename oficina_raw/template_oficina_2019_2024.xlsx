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TIONS" sheetId="1" state="visible" r:id="rId1"/>
    <sheet xmlns:r="http://schemas.openxmlformats.org/officeDocument/2006/relationships" name="01_par_camino" sheetId="2" state="visible" r:id="rId2"/>
    <sheet xmlns:r="http://schemas.openxmlformats.org/officeDocument/2006/relationships" name="02_par_nationalite" sheetId="3" state="visible" r:id="rId3"/>
    <sheet xmlns:r="http://schemas.openxmlformats.org/officeDocument/2006/relationships" name="03_biais_sj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#,##0;-#,##0;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b val="1"/>
    </font>
    <font>
      <name val="Arial"/>
      <b val="1"/>
      <color rgb="00FFFFFF"/>
      <sz val="11"/>
    </font>
    <font>
      <name val="Arial"/>
      <b val="1"/>
      <color rgb="00C00000"/>
    </font>
    <font>
      <i val="1"/>
    </font>
    <font>
      <i val="1"/>
      <color rgb="00595959"/>
    </font>
    <font>
      <b val="1"/>
    </font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164" fontId="0" fillId="5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0" fontId="5" fillId="4" borderId="1" pivotButton="0" quotePrefix="0" xfId="0"/>
    <xf numFmtId="0" fontId="2" fillId="2" borderId="1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165" fontId="6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10" fontId="2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Template de saisie manuelle - Oficina del Peregrino 2019-2024</t>
        </is>
      </c>
    </row>
    <row r="3">
      <c r="A3" s="2" t="inlineStr">
        <is>
          <t>CONTEXTE</t>
        </is>
      </c>
    </row>
    <row r="4">
      <c r="A4" s="3" t="inlineStr">
        <is>
          <t>Pourquoi saisie manuelle ?</t>
        </is>
      </c>
      <c r="B4" s="4" t="inlineStr">
        <is>
          <t>Le dashboard Oficina (https://oficinadelperegrino.com/estadisticas-2/) est un Power BI embedded depuis 2019. Extraction programmatique non viable sans accord institutionnel. Saisie manuelle = solution pragmatique pour obtenir les données essentielles au calcul du biais SJPP.</t>
        </is>
      </c>
    </row>
    <row r="5">
      <c r="A5" s="3" t="inlineStr">
        <is>
          <t>Objectif</t>
        </is>
      </c>
      <c r="B5" s="4" t="inlineStr">
        <is>
          <t>Reconstituer la ventilation annuelle des arrivées à Saint-Jacques par CAMINO pour 2019-2024. La colonne critique est 'Camino Aragonés' : proxy du flux Voie d'Arles français.</t>
        </is>
      </c>
    </row>
    <row r="6">
      <c r="A6" s="3" t="inlineStr">
        <is>
          <t>Temps estimé</t>
        </is>
      </c>
      <c r="B6" s="4" t="inlineStr">
        <is>
          <t>30 à 60 minutes selon niveau de détail retenu.</t>
        </is>
      </c>
    </row>
    <row r="8">
      <c r="A8" s="2" t="inlineStr">
        <is>
          <t>MARCHE À SUIVRE</t>
        </is>
      </c>
    </row>
    <row r="9">
      <c r="A9" s="3" t="inlineStr">
        <is>
          <t>1. Ouvrir le dashboard</t>
        </is>
      </c>
      <c r="B9" s="4" t="inlineStr">
        <is>
          <t>https://oficinadelperegrino.com/estadisticas-2/</t>
        </is>
      </c>
    </row>
    <row r="10">
      <c r="A10" s="3" t="inlineStr">
        <is>
          <t>2. Naviguer dans le temps</t>
        </is>
      </c>
      <c r="B10" s="4" t="inlineStr">
        <is>
          <t>Utiliser les filtres/sélecteurs du dashboard Power BI pour se positionner sur une année spécifique (2019, 2020, ... 2024).</t>
        </is>
      </c>
    </row>
    <row r="11">
      <c r="A11" s="3" t="inlineStr">
        <is>
          <t>3. Identifier la vue 'Camino'</t>
        </is>
      </c>
      <c r="B11" s="4" t="inlineStr">
        <is>
          <t>Le dashboard présente normalement un graphique/tableau ventilant les pèlerins par Camino emprunté.</t>
        </is>
      </c>
    </row>
    <row r="12">
      <c r="A12" s="3" t="inlineStr">
        <is>
          <t>4. Reporter les chiffres</t>
        </is>
      </c>
      <c r="B12" s="4" t="inlineStr">
        <is>
          <t>Ouvrir la feuille '01_par_camino' et saisir les valeurs dans les cellules JAUNES uniquement.</t>
        </is>
      </c>
    </row>
    <row r="13">
      <c r="A13" s="3" t="inlineStr">
        <is>
          <t>5. Optionnel - nationalités</t>
        </is>
      </c>
      <c r="B13" s="4" t="inlineStr">
        <is>
          <t>Si le dashboard permet, faire de même avec la feuille '02_par_nationalite'.</t>
        </is>
      </c>
    </row>
    <row r="14">
      <c r="A14" s="3" t="inlineStr">
        <is>
          <t>6. Totaux annuels</t>
        </is>
      </c>
      <c r="B14" s="4" t="inlineStr">
        <is>
          <t>La feuille calcule automatiquement les totaux et les compare aux chiffres AFCC connus (colonne de contrôle).</t>
        </is>
      </c>
    </row>
    <row r="16">
      <c r="A16" s="2" t="inlineStr">
        <is>
          <t>CONVENTIONS DE SAISIE</t>
        </is>
      </c>
    </row>
    <row r="17">
      <c r="A17" s="3" t="inlineStr">
        <is>
          <t>Cellules JAUNES</t>
        </is>
      </c>
      <c r="B17" s="4" t="inlineStr">
        <is>
          <t>À remplir. Saisie numérique uniquement, sans espace ni séparateur de milliers (ex: 438307, PAS '438 307' ni '438,307').</t>
        </is>
      </c>
    </row>
    <row r="18">
      <c r="A18" s="3" t="inlineStr">
        <is>
          <t>Cellules GRISES</t>
        </is>
      </c>
      <c r="B18" s="4" t="inlineStr">
        <is>
          <t>Calculs automatiques. Ne pas modifier.</t>
        </is>
      </c>
    </row>
    <row r="19">
      <c r="A19" s="3" t="inlineStr">
        <is>
          <t>Valeur manquante</t>
        </is>
      </c>
      <c r="B19" s="4" t="inlineStr">
        <is>
          <t>Laisser vide plutôt que mettre 0 (sinon les totaux seront faussés).</t>
        </is>
      </c>
    </row>
    <row r="20">
      <c r="A20" s="3" t="inlineStr">
        <is>
          <t>Valeur estimée</t>
        </is>
      </c>
      <c r="B20" s="4" t="inlineStr">
        <is>
          <t>Si tu dois estimer un chiffre (par exemple parce que le dashboard montre un graphique sans étiquettes), indique-le en ajoutant ~ devant (ex: ~1500).</t>
        </is>
      </c>
    </row>
    <row r="22">
      <c r="A22" s="2" t="inlineStr">
        <is>
          <t>CONTRÔLE QUALITÉ</t>
        </is>
      </c>
    </row>
    <row r="23">
      <c r="A23" s="3" t="inlineStr">
        <is>
          <t>Totaux AFCC connus</t>
        </is>
      </c>
      <c r="B23" s="4" t="inlineStr">
        <is>
          <t>La colonne 'Contrôle AFCC' affiche les totaux annuels publiés par l'Agence française. Si ta somme s'en écarte de plus de 1%, revérifie ta saisie.</t>
        </is>
      </c>
    </row>
    <row r="24">
      <c r="A24" s="3" t="inlineStr">
        <is>
          <t>Ratios attendus</t>
        </is>
      </c>
      <c r="B24" s="4" t="inlineStr">
        <is>
          <t>Camino Francés représente historiquement 50-57% des arrivées. Camino Aragonés 0.5-1.5%. Si tu obtiens des ordres de grandeur très différents, alerte sur la source consultée.</t>
        </is>
      </c>
    </row>
    <row r="26">
      <c r="A26" s="2" t="inlineStr">
        <is>
          <t>APRÈS SAISIE</t>
        </is>
      </c>
    </row>
    <row r="27">
      <c r="A27" s="3" t="inlineStr">
        <is>
          <t>Intégration au projet</t>
        </is>
      </c>
      <c r="B27" s="4" t="inlineStr">
        <is>
          <t>Une fois complété, ce fichier pourra être joint au dataset consolidé comme nouvel onglet '08_oficina_manual'.</t>
        </is>
      </c>
    </row>
    <row r="28">
      <c r="A28" s="3" t="inlineStr">
        <is>
          <t>Documentation source</t>
        </is>
      </c>
      <c r="B28" s="4" t="inlineStr">
        <is>
          <t>Note la date de consultation du dashboard dans la colonne 'date_consultation' pour traçabilité.</t>
        </is>
      </c>
    </row>
    <row r="29">
      <c r="A29" s="3" t="inlineStr">
        <is>
          <t>Sauvegarde brute</t>
        </is>
      </c>
      <c r="B29" s="4" t="inlineStr">
        <is>
          <t>Si possible, fais une capture d'écran du dashboard au moment de la saisie et archive-la à côté du fichier.</t>
        </is>
      </c>
    </row>
  </sheetData>
  <mergeCells count="6">
    <mergeCell ref="A26:B26"/>
    <mergeCell ref="A16:B16"/>
    <mergeCell ref="A1:B1"/>
    <mergeCell ref="A8:B8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5" customWidth="1" min="9" max="9"/>
    <col width="40" customWidth="1" min="10" max="10"/>
  </cols>
  <sheetData>
    <row r="1">
      <c r="A1" s="5" t="inlineStr">
        <is>
          <t>Camino</t>
        </is>
      </c>
      <c r="B1" s="5" t="inlineStr">
        <is>
          <t>2019</t>
        </is>
      </c>
      <c r="C1" s="5" t="inlineStr">
        <is>
          <t>2020</t>
        </is>
      </c>
      <c r="D1" s="5" t="inlineStr">
        <is>
          <t>2021</t>
        </is>
      </c>
      <c r="E1" s="5" t="inlineStr">
        <is>
          <t>2022</t>
        </is>
      </c>
      <c r="F1" s="5" t="inlineStr">
        <is>
          <t>2023</t>
        </is>
      </c>
      <c r="G1" s="5" t="inlineStr">
        <is>
          <t>2024</t>
        </is>
      </c>
      <c r="H1" s="5" t="inlineStr">
        <is>
          <t>Total 2019-2024</t>
        </is>
      </c>
      <c r="I1" s="5" t="inlineStr">
        <is>
          <t>Part moyenne (%)</t>
        </is>
      </c>
      <c r="J1" s="5" t="inlineStr">
        <is>
          <t>Remarques</t>
        </is>
      </c>
    </row>
    <row r="2">
      <c r="A2" t="inlineStr">
        <is>
          <t>Camino Francés</t>
        </is>
      </c>
      <c r="B2" s="6" t="n"/>
      <c r="C2" s="6" t="n"/>
      <c r="D2" s="6" t="n"/>
      <c r="E2" s="6" t="n"/>
      <c r="F2" s="6" t="n"/>
      <c r="G2" s="6" t="n"/>
      <c r="H2" s="7">
        <f>SUM(B2:G2)</f>
        <v/>
      </c>
      <c r="I2" s="8">
        <f>IFERROR(H2/SUM($H$2:$H$16),0)</f>
        <v/>
      </c>
      <c r="J2" s="9" t="n"/>
    </row>
    <row r="3">
      <c r="A3" t="inlineStr">
        <is>
          <t>Camino Portugués</t>
        </is>
      </c>
      <c r="B3" s="6" t="n"/>
      <c r="C3" s="6" t="n"/>
      <c r="D3" s="6" t="n"/>
      <c r="E3" s="6" t="n"/>
      <c r="F3" s="6" t="n"/>
      <c r="G3" s="6" t="n"/>
      <c r="H3" s="7">
        <f>SUM(B3:G3)</f>
        <v/>
      </c>
      <c r="I3" s="8">
        <f>IFERROR(H3/SUM($H$2:$H$16),0)</f>
        <v/>
      </c>
      <c r="J3" s="9" t="n"/>
    </row>
    <row r="4">
      <c r="A4" t="inlineStr">
        <is>
          <t>Camino Portugués de la Costa</t>
        </is>
      </c>
      <c r="B4" s="6" t="n"/>
      <c r="C4" s="6" t="n"/>
      <c r="D4" s="6" t="n"/>
      <c r="E4" s="6" t="n"/>
      <c r="F4" s="6" t="n"/>
      <c r="G4" s="6" t="n"/>
      <c r="H4" s="7">
        <f>SUM(B4:G4)</f>
        <v/>
      </c>
      <c r="I4" s="8">
        <f>IFERROR(H4/SUM($H$2:$H$16),0)</f>
        <v/>
      </c>
      <c r="J4" s="9" t="n"/>
    </row>
    <row r="5">
      <c r="A5" t="inlineStr">
        <is>
          <t>Camino del Norte</t>
        </is>
      </c>
      <c r="B5" s="6" t="n"/>
      <c r="C5" s="6" t="n"/>
      <c r="D5" s="6" t="n"/>
      <c r="E5" s="6" t="n"/>
      <c r="F5" s="6" t="n"/>
      <c r="G5" s="6" t="n"/>
      <c r="H5" s="7">
        <f>SUM(B5:G5)</f>
        <v/>
      </c>
      <c r="I5" s="8">
        <f>IFERROR(H5/SUM($H$2:$H$16),0)</f>
        <v/>
      </c>
      <c r="J5" s="9" t="n"/>
    </row>
    <row r="6">
      <c r="A6" t="inlineStr">
        <is>
          <t>Camino Primitivo</t>
        </is>
      </c>
      <c r="B6" s="6" t="n"/>
      <c r="C6" s="6" t="n"/>
      <c r="D6" s="6" t="n"/>
      <c r="E6" s="6" t="n"/>
      <c r="F6" s="6" t="n"/>
      <c r="G6" s="6" t="n"/>
      <c r="H6" s="7">
        <f>SUM(B6:G6)</f>
        <v/>
      </c>
      <c r="I6" s="8">
        <f>IFERROR(H6/SUM($H$2:$H$16),0)</f>
        <v/>
      </c>
      <c r="J6" s="9" t="n"/>
    </row>
    <row r="7">
      <c r="A7" t="inlineStr">
        <is>
          <t>Camino Inglés</t>
        </is>
      </c>
      <c r="B7" s="6" t="n"/>
      <c r="C7" s="6" t="n"/>
      <c r="D7" s="6" t="n"/>
      <c r="E7" s="6" t="n"/>
      <c r="F7" s="6" t="n"/>
      <c r="G7" s="6" t="n"/>
      <c r="H7" s="7">
        <f>SUM(B7:G7)</f>
        <v/>
      </c>
      <c r="I7" s="8">
        <f>IFERROR(H7/SUM($H$2:$H$16),0)</f>
        <v/>
      </c>
      <c r="J7" s="9" t="n"/>
    </row>
    <row r="8">
      <c r="A8" t="inlineStr">
        <is>
          <t>Vía de la Plata</t>
        </is>
      </c>
      <c r="B8" s="6" t="n"/>
      <c r="C8" s="6" t="n"/>
      <c r="D8" s="6" t="n"/>
      <c r="E8" s="6" t="n"/>
      <c r="F8" s="6" t="n"/>
      <c r="G8" s="6" t="n"/>
      <c r="H8" s="7">
        <f>SUM(B8:G8)</f>
        <v/>
      </c>
      <c r="I8" s="8">
        <f>IFERROR(H8/SUM($H$2:$H$16),0)</f>
        <v/>
      </c>
      <c r="J8" s="9" t="n"/>
    </row>
    <row r="9">
      <c r="A9" t="inlineStr">
        <is>
          <t>Camino de Invierno</t>
        </is>
      </c>
      <c r="B9" s="6" t="n"/>
      <c r="C9" s="6" t="n"/>
      <c r="D9" s="6" t="n"/>
      <c r="E9" s="6" t="n"/>
      <c r="F9" s="6" t="n"/>
      <c r="G9" s="6" t="n"/>
      <c r="H9" s="7">
        <f>SUM(B9:G9)</f>
        <v/>
      </c>
      <c r="I9" s="8">
        <f>IFERROR(H9/SUM($H$2:$H$16),0)</f>
        <v/>
      </c>
      <c r="J9" s="9" t="n"/>
    </row>
    <row r="10">
      <c r="A10" s="10" t="inlineStr">
        <is>
          <t>Camino Aragonés</t>
        </is>
      </c>
      <c r="B10" s="11" t="n"/>
      <c r="C10" s="11" t="n"/>
      <c r="D10" s="11" t="n"/>
      <c r="E10" s="11" t="n"/>
      <c r="F10" s="11" t="n"/>
      <c r="G10" s="11" t="n"/>
      <c r="H10" s="12">
        <f>SUM(B10:G10)</f>
        <v/>
      </c>
      <c r="I10" s="13">
        <f>IFERROR(H10/SUM($H$2:$H$16),0)</f>
        <v/>
      </c>
      <c r="J10" s="14" t="n"/>
    </row>
    <row r="11">
      <c r="A11" t="inlineStr">
        <is>
          <t>Muxía-Finisterre</t>
        </is>
      </c>
      <c r="B11" s="6" t="n"/>
      <c r="C11" s="6" t="n"/>
      <c r="D11" s="6" t="n"/>
      <c r="E11" s="6" t="n"/>
      <c r="F11" s="6" t="n"/>
      <c r="G11" s="6" t="n"/>
      <c r="H11" s="7">
        <f>SUM(B11:G11)</f>
        <v/>
      </c>
      <c r="I11" s="8">
        <f>IFERROR(H11/SUM($H$2:$H$16),0)</f>
        <v/>
      </c>
      <c r="J11" s="9" t="n"/>
    </row>
    <row r="12">
      <c r="A12" t="inlineStr">
        <is>
          <t>Epílogo Finisterre</t>
        </is>
      </c>
      <c r="B12" s="6" t="n"/>
      <c r="C12" s="6" t="n"/>
      <c r="D12" s="6" t="n"/>
      <c r="E12" s="6" t="n"/>
      <c r="F12" s="6" t="n"/>
      <c r="G12" s="6" t="n"/>
      <c r="H12" s="7">
        <f>SUM(B12:G12)</f>
        <v/>
      </c>
      <c r="I12" s="8">
        <f>IFERROR(H12/SUM($H$2:$H$16),0)</f>
        <v/>
      </c>
      <c r="J12" s="9" t="n"/>
    </row>
    <row r="13">
      <c r="A13" t="inlineStr">
        <is>
          <t>Camino del Sureste</t>
        </is>
      </c>
      <c r="B13" s="6" t="n"/>
      <c r="C13" s="6" t="n"/>
      <c r="D13" s="6" t="n"/>
      <c r="E13" s="6" t="n"/>
      <c r="F13" s="6" t="n"/>
      <c r="G13" s="6" t="n"/>
      <c r="H13" s="7">
        <f>SUM(B13:G13)</f>
        <v/>
      </c>
      <c r="I13" s="8">
        <f>IFERROR(H13/SUM($H$2:$H$16),0)</f>
        <v/>
      </c>
      <c r="J13" s="9" t="n"/>
    </row>
    <row r="14">
      <c r="A14" t="inlineStr">
        <is>
          <t>Camino Olvidado</t>
        </is>
      </c>
      <c r="B14" s="6" t="n"/>
      <c r="C14" s="6" t="n"/>
      <c r="D14" s="6" t="n"/>
      <c r="E14" s="6" t="n"/>
      <c r="F14" s="6" t="n"/>
      <c r="G14" s="6" t="n"/>
      <c r="H14" s="7">
        <f>SUM(B14:G14)</f>
        <v/>
      </c>
      <c r="I14" s="8">
        <f>IFERROR(H14/SUM($H$2:$H$16),0)</f>
        <v/>
      </c>
      <c r="J14" s="9" t="n"/>
    </row>
    <row r="15">
      <c r="A15" t="inlineStr">
        <is>
          <t>Ruta del Mar de Arousa</t>
        </is>
      </c>
      <c r="B15" s="6" t="n"/>
      <c r="C15" s="6" t="n"/>
      <c r="D15" s="6" t="n"/>
      <c r="E15" s="6" t="n"/>
      <c r="F15" s="6" t="n"/>
      <c r="G15" s="6" t="n"/>
      <c r="H15" s="7">
        <f>SUM(B15:G15)</f>
        <v/>
      </c>
      <c r="I15" s="8">
        <f>IFERROR(H15/SUM($H$2:$H$16),0)</f>
        <v/>
      </c>
      <c r="J15" s="9" t="n"/>
    </row>
    <row r="16">
      <c r="A16" t="inlineStr">
        <is>
          <t>Otros caminos</t>
        </is>
      </c>
      <c r="B16" s="6" t="n"/>
      <c r="C16" s="6" t="n"/>
      <c r="D16" s="6" t="n"/>
      <c r="E16" s="6" t="n"/>
      <c r="F16" s="6" t="n"/>
      <c r="G16" s="6" t="n"/>
      <c r="H16" s="7">
        <f>SUM(B16:G16)</f>
        <v/>
      </c>
      <c r="I16" s="8">
        <f>IFERROR(H16/SUM($H$2:$H$16),0)</f>
        <v/>
      </c>
      <c r="J16" s="9" t="n"/>
    </row>
    <row r="17">
      <c r="A17" s="2" t="inlineStr">
        <is>
          <t>TOTAL annuel saisi</t>
        </is>
      </c>
      <c r="B17" s="15">
        <f>SUM(B2:B16)</f>
        <v/>
      </c>
      <c r="C17" s="15">
        <f>SUM(C2:C16)</f>
        <v/>
      </c>
      <c r="D17" s="15">
        <f>SUM(D2:D16)</f>
        <v/>
      </c>
      <c r="E17" s="15">
        <f>SUM(E2:E16)</f>
        <v/>
      </c>
      <c r="F17" s="15">
        <f>SUM(F2:F16)</f>
        <v/>
      </c>
      <c r="G17" s="15">
        <f>SUM(G2:G16)</f>
        <v/>
      </c>
      <c r="H17" s="15">
        <f>SUM(B17:G17)</f>
        <v/>
      </c>
    </row>
    <row r="18">
      <c r="A18" s="16" t="inlineStr">
        <is>
          <t>Contrôle AFCC (référence)</t>
        </is>
      </c>
      <c r="B18" s="17" t="n">
        <v>347578</v>
      </c>
      <c r="C18" s="17" t="n">
        <v>54144</v>
      </c>
      <c r="D18" s="17" t="n">
        <v>178912</v>
      </c>
      <c r="E18" s="17" t="n">
        <v>438307</v>
      </c>
      <c r="F18" s="17" t="n">
        <v>445397</v>
      </c>
      <c r="G18" s="17" t="inlineStr">
        <is>
          <t>n.d.</t>
        </is>
      </c>
    </row>
    <row r="19">
      <c r="A19" s="16" t="inlineStr">
        <is>
          <t>Écart saisie vs AFCC</t>
        </is>
      </c>
      <c r="B19" s="18">
        <f>IFERROR(B17-B18, "")</f>
        <v/>
      </c>
      <c r="C19" s="18">
        <f>IFERROR(C17-C18, "")</f>
        <v/>
      </c>
      <c r="D19" s="18">
        <f>IFERROR(D17-D18, "")</f>
        <v/>
      </c>
      <c r="E19" s="18">
        <f>IFERROR(E17-E18, "")</f>
        <v/>
      </c>
      <c r="F19" s="18">
        <f>IFERROR(F17-F18, "")</f>
        <v/>
      </c>
      <c r="G19" s="18">
        <f>IFERROR(G17-G18, "")</f>
        <v/>
      </c>
    </row>
    <row r="21">
      <c r="A21" s="19" t="inlineStr">
        <is>
          <t>Date consultation dashboard :</t>
        </is>
      </c>
      <c r="B21" s="9" t="n"/>
      <c r="C21" s="20" t="inlineStr">
        <is>
          <t>(format YYYY-MM-DD)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40" customWidth="1" min="9" max="9"/>
  </cols>
  <sheetData>
    <row r="1">
      <c r="A1" s="5" t="inlineStr">
        <is>
          <t>Nationalité</t>
        </is>
      </c>
      <c r="B1" s="5" t="inlineStr">
        <is>
          <t>2019</t>
        </is>
      </c>
      <c r="C1" s="5" t="inlineStr">
        <is>
          <t>2020</t>
        </is>
      </c>
      <c r="D1" s="5" t="inlineStr">
        <is>
          <t>2021</t>
        </is>
      </c>
      <c r="E1" s="5" t="inlineStr">
        <is>
          <t>2022</t>
        </is>
      </c>
      <c r="F1" s="5" t="inlineStr">
        <is>
          <t>2023</t>
        </is>
      </c>
      <c r="G1" s="5" t="inlineStr">
        <is>
          <t>2024</t>
        </is>
      </c>
      <c r="H1" s="5" t="inlineStr">
        <is>
          <t>Total</t>
        </is>
      </c>
      <c r="I1" s="5" t="inlineStr">
        <is>
          <t>Remarques</t>
        </is>
      </c>
    </row>
    <row r="2">
      <c r="A2" t="inlineStr">
        <is>
          <t>Espagnole</t>
        </is>
      </c>
      <c r="B2" s="6" t="n"/>
      <c r="C2" s="6" t="n"/>
      <c r="D2" s="6" t="n"/>
      <c r="E2" s="6" t="n"/>
      <c r="F2" s="6" t="n"/>
      <c r="G2" s="6" t="n"/>
      <c r="H2" s="7">
        <f>SUM(B2:G2)</f>
        <v/>
      </c>
      <c r="I2" s="9" t="n"/>
    </row>
    <row r="3">
      <c r="A3" t="inlineStr">
        <is>
          <t>Italienne</t>
        </is>
      </c>
      <c r="B3" s="6" t="n"/>
      <c r="C3" s="6" t="n"/>
      <c r="D3" s="6" t="n"/>
      <c r="E3" s="6" t="n"/>
      <c r="F3" s="6" t="n"/>
      <c r="G3" s="6" t="n"/>
      <c r="H3" s="7">
        <f>SUM(B3:G3)</f>
        <v/>
      </c>
      <c r="I3" s="9" t="n"/>
    </row>
    <row r="4">
      <c r="A4" t="inlineStr">
        <is>
          <t>Allemande</t>
        </is>
      </c>
      <c r="B4" s="6" t="n"/>
      <c r="C4" s="6" t="n"/>
      <c r="D4" s="6" t="n"/>
      <c r="E4" s="6" t="n"/>
      <c r="F4" s="6" t="n"/>
      <c r="G4" s="6" t="n"/>
      <c r="H4" s="7">
        <f>SUM(B4:G4)</f>
        <v/>
      </c>
      <c r="I4" s="9" t="n"/>
    </row>
    <row r="5">
      <c r="A5" t="inlineStr">
        <is>
          <t>Américaine (USA)</t>
        </is>
      </c>
      <c r="B5" s="6" t="n"/>
      <c r="C5" s="6" t="n"/>
      <c r="D5" s="6" t="n"/>
      <c r="E5" s="6" t="n"/>
      <c r="F5" s="6" t="n"/>
      <c r="G5" s="6" t="n"/>
      <c r="H5" s="7">
        <f>SUM(B5:G5)</f>
        <v/>
      </c>
      <c r="I5" s="9" t="n"/>
    </row>
    <row r="6">
      <c r="A6" t="inlineStr">
        <is>
          <t>Portugaise</t>
        </is>
      </c>
      <c r="B6" s="6" t="n"/>
      <c r="C6" s="6" t="n"/>
      <c r="D6" s="6" t="n"/>
      <c r="E6" s="6" t="n"/>
      <c r="F6" s="6" t="n"/>
      <c r="G6" s="6" t="n"/>
      <c r="H6" s="7">
        <f>SUM(B6:G6)</f>
        <v/>
      </c>
      <c r="I6" s="9" t="n"/>
    </row>
    <row r="7">
      <c r="A7" t="inlineStr">
        <is>
          <t>Française</t>
        </is>
      </c>
      <c r="B7" s="6" t="n"/>
      <c r="C7" s="6" t="n"/>
      <c r="D7" s="6" t="n"/>
      <c r="E7" s="6" t="n"/>
      <c r="F7" s="6" t="n"/>
      <c r="G7" s="6" t="n"/>
      <c r="H7" s="7">
        <f>SUM(B7:G7)</f>
        <v/>
      </c>
      <c r="I7" s="9" t="n"/>
    </row>
    <row r="8">
      <c r="A8" t="inlineStr">
        <is>
          <t>Anglaise (Royaume-Uni)</t>
        </is>
      </c>
      <c r="B8" s="6" t="n"/>
      <c r="C8" s="6" t="n"/>
      <c r="D8" s="6" t="n"/>
      <c r="E8" s="6" t="n"/>
      <c r="F8" s="6" t="n"/>
      <c r="G8" s="6" t="n"/>
      <c r="H8" s="7">
        <f>SUM(B8:G8)</f>
        <v/>
      </c>
      <c r="I8" s="9" t="n"/>
    </row>
    <row r="9">
      <c r="A9" t="inlineStr">
        <is>
          <t>Irlandaise</t>
        </is>
      </c>
      <c r="B9" s="6" t="n"/>
      <c r="C9" s="6" t="n"/>
      <c r="D9" s="6" t="n"/>
      <c r="E9" s="6" t="n"/>
      <c r="F9" s="6" t="n"/>
      <c r="G9" s="6" t="n"/>
      <c r="H9" s="7">
        <f>SUM(B9:G9)</f>
        <v/>
      </c>
      <c r="I9" s="9" t="n"/>
    </row>
    <row r="10">
      <c r="A10" t="inlineStr">
        <is>
          <t>Mexicaine</t>
        </is>
      </c>
      <c r="B10" s="6" t="n"/>
      <c r="C10" s="6" t="n"/>
      <c r="D10" s="6" t="n"/>
      <c r="E10" s="6" t="n"/>
      <c r="F10" s="6" t="n"/>
      <c r="G10" s="6" t="n"/>
      <c r="H10" s="7">
        <f>SUM(B10:G10)</f>
        <v/>
      </c>
      <c r="I10" s="9" t="n"/>
    </row>
    <row r="11">
      <c r="A11" t="inlineStr">
        <is>
          <t>Coréenne (Corée du Sud)</t>
        </is>
      </c>
      <c r="B11" s="6" t="n"/>
      <c r="C11" s="6" t="n"/>
      <c r="D11" s="6" t="n"/>
      <c r="E11" s="6" t="n"/>
      <c r="F11" s="6" t="n"/>
      <c r="G11" s="6" t="n"/>
      <c r="H11" s="7">
        <f>SUM(B11:G11)</f>
        <v/>
      </c>
      <c r="I11" s="9" t="n"/>
    </row>
    <row r="12">
      <c r="A12" t="inlineStr">
        <is>
          <t>Brésilienne</t>
        </is>
      </c>
      <c r="B12" s="6" t="n"/>
      <c r="C12" s="6" t="n"/>
      <c r="D12" s="6" t="n"/>
      <c r="E12" s="6" t="n"/>
      <c r="F12" s="6" t="n"/>
      <c r="G12" s="6" t="n"/>
      <c r="H12" s="7">
        <f>SUM(B12:G12)</f>
        <v/>
      </c>
      <c r="I12" s="9" t="n"/>
    </row>
    <row r="13">
      <c r="A13" t="inlineStr">
        <is>
          <t>Australienne</t>
        </is>
      </c>
      <c r="B13" s="6" t="n"/>
      <c r="C13" s="6" t="n"/>
      <c r="D13" s="6" t="n"/>
      <c r="E13" s="6" t="n"/>
      <c r="F13" s="6" t="n"/>
      <c r="G13" s="6" t="n"/>
      <c r="H13" s="7">
        <f>SUM(B13:G13)</f>
        <v/>
      </c>
      <c r="I13" s="9" t="n"/>
    </row>
    <row r="14">
      <c r="A14" t="inlineStr">
        <is>
          <t>Canadienne</t>
        </is>
      </c>
      <c r="B14" s="6" t="n"/>
      <c r="C14" s="6" t="n"/>
      <c r="D14" s="6" t="n"/>
      <c r="E14" s="6" t="n"/>
      <c r="F14" s="6" t="n"/>
      <c r="G14" s="6" t="n"/>
      <c r="H14" s="7">
        <f>SUM(B14:G14)</f>
        <v/>
      </c>
      <c r="I14" s="9" t="n"/>
    </row>
    <row r="15">
      <c r="A15" t="inlineStr">
        <is>
          <t>Polonaise</t>
        </is>
      </c>
      <c r="B15" s="6" t="n"/>
      <c r="C15" s="6" t="n"/>
      <c r="D15" s="6" t="n"/>
      <c r="E15" s="6" t="n"/>
      <c r="F15" s="6" t="n"/>
      <c r="G15" s="6" t="n"/>
      <c r="H15" s="7">
        <f>SUM(B15:G15)</f>
        <v/>
      </c>
      <c r="I15" s="9" t="n"/>
    </row>
    <row r="16">
      <c r="A16" t="inlineStr">
        <is>
          <t>Hollandaise (Pays-Bas)</t>
        </is>
      </c>
      <c r="B16" s="6" t="n"/>
      <c r="C16" s="6" t="n"/>
      <c r="D16" s="6" t="n"/>
      <c r="E16" s="6" t="n"/>
      <c r="F16" s="6" t="n"/>
      <c r="G16" s="6" t="n"/>
      <c r="H16" s="7">
        <f>SUM(B16:G16)</f>
        <v/>
      </c>
      <c r="I16" s="9" t="n"/>
    </row>
    <row r="17">
      <c r="A17" t="inlineStr">
        <is>
          <t>Japonaise</t>
        </is>
      </c>
      <c r="B17" s="6" t="n"/>
      <c r="C17" s="6" t="n"/>
      <c r="D17" s="6" t="n"/>
      <c r="E17" s="6" t="n"/>
      <c r="F17" s="6" t="n"/>
      <c r="G17" s="6" t="n"/>
      <c r="H17" s="7">
        <f>SUM(B17:G17)</f>
        <v/>
      </c>
      <c r="I17" s="9" t="n"/>
    </row>
    <row r="18">
      <c r="A18" t="inlineStr">
        <is>
          <t>Autres</t>
        </is>
      </c>
      <c r="B18" s="6" t="n"/>
      <c r="C18" s="6" t="n"/>
      <c r="D18" s="6" t="n"/>
      <c r="E18" s="6" t="n"/>
      <c r="F18" s="6" t="n"/>
      <c r="G18" s="6" t="n"/>
      <c r="H18" s="7">
        <f>SUM(B18:G18)</f>
        <v/>
      </c>
      <c r="I18" s="9" t="n"/>
    </row>
    <row r="19">
      <c r="A19" s="2" t="inlineStr">
        <is>
          <t>TOTAL</t>
        </is>
      </c>
      <c r="B19" s="15">
        <f>SUM(B2:B18)</f>
        <v/>
      </c>
      <c r="C19" s="15">
        <f>SUM(C2:C18)</f>
        <v/>
      </c>
      <c r="D19" s="15">
        <f>SUM(D2:D18)</f>
        <v/>
      </c>
      <c r="E19" s="15">
        <f>SUM(E2:E18)</f>
        <v/>
      </c>
      <c r="F19" s="15">
        <f>SUM(F2:F18)</f>
        <v/>
      </c>
      <c r="G19" s="15">
        <f>SUM(G2:G18)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Calcul du biais SJPP - Méthodologie empirique</t>
        </is>
      </c>
    </row>
    <row r="2">
      <c r="A2" t="inlineStr"/>
    </row>
    <row r="3">
      <c r="A3" s="2" t="inlineStr">
        <is>
          <t>PRINCIPE</t>
        </is>
      </c>
    </row>
    <row r="4">
      <c r="A4" t="inlineStr">
        <is>
          <t>Le point de comptage SJPP ne capte PAS les pèlerins partant via la Voie d'Arles + Col du Somport (Camino Aragonés).</t>
        </is>
      </c>
    </row>
    <row r="5">
      <c r="A5" t="inlineStr">
        <is>
          <t>On estime empiriquement le taux d'invisibilité de SJPP en calculant : Aragonés / (Aragonés + Francés)</t>
        </is>
      </c>
    </row>
    <row r="6">
      <c r="A6" t="inlineStr"/>
    </row>
    <row r="7">
      <c r="A7" s="2" t="inlineStr">
        <is>
          <t>INTERPRÉTATION</t>
        </is>
      </c>
    </row>
    <row r="8">
      <c r="A8" t="inlineStr">
        <is>
          <t>Ce ratio indique la part de pèlerins 'français' (au sens large) qui échappent au comptage SJPP.</t>
        </is>
      </c>
    </row>
    <row r="9">
      <c r="A9" t="inlineStr">
        <is>
          <t>Il n'est pas strictement égal au 'biais' réel car : (1) tous les pèlerins Aragonés ne viennent pas de France, (2) tous les pèlerins Francés ne passent pas par SJPP.</t>
        </is>
      </c>
    </row>
    <row r="10">
      <c r="A10" t="inlineStr">
        <is>
          <t>C'est néanmoins un proxy beaucoup plus solide que l'estimation grossière initiale de 12%.</t>
        </is>
      </c>
    </row>
    <row r="12">
      <c r="A12" s="5" t="inlineStr">
        <is>
          <t>Année</t>
        </is>
      </c>
      <c r="B12" s="5" t="inlineStr">
        <is>
          <t>Camino Aragonés</t>
        </is>
      </c>
      <c r="C12" s="5" t="inlineStr">
        <is>
          <t>Camino Francés</t>
        </is>
      </c>
      <c r="D12" s="5" t="inlineStr">
        <is>
          <t>Total Aragonés + Francés</t>
        </is>
      </c>
      <c r="E12" s="5" t="inlineStr">
        <is>
          <t>Ratio Aragonés (%)</t>
        </is>
      </c>
      <c r="F12" s="5" t="inlineStr">
        <is>
          <t>Biais SJPP estimé</t>
        </is>
      </c>
    </row>
    <row r="13">
      <c r="A13" s="21" t="n">
        <v>2019</v>
      </c>
      <c r="B13" s="21">
        <f>IFERROR('01_par_camino'!B10,0)</f>
        <v/>
      </c>
      <c r="C13" s="21">
        <f>IFERROR('01_par_camino'!B2,0)</f>
        <v/>
      </c>
      <c r="D13" s="21">
        <f>B13+C13</f>
        <v/>
      </c>
      <c r="E13" s="22">
        <f>IFERROR(B13/D13,0)</f>
        <v/>
      </c>
      <c r="F13" s="22">
        <f>IFERROR(B13/D13,0)</f>
        <v/>
      </c>
    </row>
    <row r="14">
      <c r="A14" s="21" t="n">
        <v>2020</v>
      </c>
      <c r="B14" s="21">
        <f>IFERROR('01_par_camino'!C10,0)</f>
        <v/>
      </c>
      <c r="C14" s="21">
        <f>IFERROR('01_par_camino'!C2,0)</f>
        <v/>
      </c>
      <c r="D14" s="21">
        <f>B14+C14</f>
        <v/>
      </c>
      <c r="E14" s="22">
        <f>IFERROR(B14/D14,0)</f>
        <v/>
      </c>
      <c r="F14" s="22">
        <f>IFERROR(B14/D14,0)</f>
        <v/>
      </c>
    </row>
    <row r="15">
      <c r="A15" s="21" t="n">
        <v>2021</v>
      </c>
      <c r="B15" s="21">
        <f>IFERROR('01_par_camino'!D10,0)</f>
        <v/>
      </c>
      <c r="C15" s="21">
        <f>IFERROR('01_par_camino'!D2,0)</f>
        <v/>
      </c>
      <c r="D15" s="21">
        <f>B15+C15</f>
        <v/>
      </c>
      <c r="E15" s="22">
        <f>IFERROR(B15/D15,0)</f>
        <v/>
      </c>
      <c r="F15" s="22">
        <f>IFERROR(B15/D15,0)</f>
        <v/>
      </c>
    </row>
    <row r="16">
      <c r="A16" s="21" t="n">
        <v>2022</v>
      </c>
      <c r="B16" s="21">
        <f>IFERROR('01_par_camino'!E10,0)</f>
        <v/>
      </c>
      <c r="C16" s="21">
        <f>IFERROR('01_par_camino'!E2,0)</f>
        <v/>
      </c>
      <c r="D16" s="21">
        <f>B16+C16</f>
        <v/>
      </c>
      <c r="E16" s="22">
        <f>IFERROR(B16/D16,0)</f>
        <v/>
      </c>
      <c r="F16" s="22">
        <f>IFERROR(B16/D16,0)</f>
        <v/>
      </c>
    </row>
    <row r="17">
      <c r="A17" s="21" t="n">
        <v>2023</v>
      </c>
      <c r="B17" s="21">
        <f>IFERROR('01_par_camino'!F10,0)</f>
        <v/>
      </c>
      <c r="C17" s="21">
        <f>IFERROR('01_par_camino'!F2,0)</f>
        <v/>
      </c>
      <c r="D17" s="21">
        <f>B17+C17</f>
        <v/>
      </c>
      <c r="E17" s="22">
        <f>IFERROR(B17/D17,0)</f>
        <v/>
      </c>
      <c r="F17" s="22">
        <f>IFERROR(B17/D17,0)</f>
        <v/>
      </c>
    </row>
    <row r="18">
      <c r="A18" s="21" t="n">
        <v>2024</v>
      </c>
      <c r="B18" s="21">
        <f>IFERROR('01_par_camino'!G10,0)</f>
        <v/>
      </c>
      <c r="C18" s="21">
        <f>IFERROR('01_par_camino'!G2,0)</f>
        <v/>
      </c>
      <c r="D18" s="21">
        <f>B18+C18</f>
        <v/>
      </c>
      <c r="E18" s="22">
        <f>IFERROR(B18/D18,0)</f>
        <v/>
      </c>
      <c r="F18" s="22">
        <f>IFERROR(B18/D18,0)</f>
        <v/>
      </c>
    </row>
    <row r="20">
      <c r="A20" s="2" t="inlineStr">
        <is>
          <t>MOYENNE 2019-2024</t>
        </is>
      </c>
      <c r="E20" s="23">
        <f>AVERAGE(E13:E18)</f>
        <v/>
      </c>
    </row>
    <row r="23">
      <c r="A23" s="24" t="inlineStr">
        <is>
          <t>Rappel estimation initiale : 12% (non sourcée, à remplacer par la moyenne empirique ci-dessus)</t>
        </is>
      </c>
    </row>
  </sheetData>
  <mergeCells count="11">
    <mergeCell ref="A2:F2"/>
    <mergeCell ref="A10:F10"/>
    <mergeCell ref="A1:F1"/>
    <mergeCell ref="A5:F5"/>
    <mergeCell ref="A9:F9"/>
    <mergeCell ref="A23:F23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2026-04-17T08:25:02Z</dcterms:created>
  <dcterms:modified xmlns:dcterms="http://purl.org/dc/terms/" xmlns:xsi="http://www.w3.org/2001/XMLSchema-instance" xsi:type="dcterms:W3CDTF">2026-04-17T08:25:02Z</dcterms:modified>
</cp:coreProperties>
</file>