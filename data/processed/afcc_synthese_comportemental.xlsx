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OTICE" sheetId="1" state="visible" r:id="rId1"/>
    <sheet xmlns:r="http://schemas.openxmlformats.org/officeDocument/2006/relationships" name="00_biais_caveats" sheetId="2" state="visible" r:id="rId2"/>
    <sheet xmlns:r="http://schemas.openxmlformats.org/officeDocument/2006/relationships" name="01_parametres_flux" sheetId="3" state="visible" r:id="rId3"/>
    <sheet xmlns:r="http://schemas.openxmlformats.org/officeDocument/2006/relationships" name="02_voies_distribution" sheetId="4" state="visible" r:id="rId4"/>
    <sheet xmlns:r="http://schemas.openxmlformats.org/officeDocument/2006/relationships" name="03_departements_cartes" sheetId="5" state="visible" r:id="rId5"/>
    <sheet xmlns:r="http://schemas.openxmlformats.org/officeDocument/2006/relationships" name="04_saisonnalite" sheetId="6" state="visible" r:id="rId6"/>
    <sheet xmlns:r="http://schemas.openxmlformats.org/officeDocument/2006/relationships" name="05_profil_typologies" sheetId="7" state="visible" r:id="rId7"/>
    <sheet xmlns:r="http://schemas.openxmlformats.org/officeDocument/2006/relationships" name="06_satisfaction_e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4472"/>
      <sz val="10"/>
    </font>
    <font>
      <name val="Arial"/>
      <color rgb="00000000"/>
      <sz val="10"/>
    </font>
    <font>
      <name val="Arial"/>
      <b val="1"/>
      <color rgb="008B6914"/>
      <sz val="10"/>
    </font>
    <font>
      <name val="Arial"/>
      <b val="1"/>
      <color rgb="001A4472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4472"/>
      <sz val="12"/>
    </font>
    <font>
      <name val="Arial"/>
      <b val="1"/>
      <sz val="9"/>
    </font>
    <font>
      <name val="Arial"/>
      <i val="1"/>
      <color rgb="00C00000"/>
      <sz val="9"/>
    </font>
    <font>
      <name val="Arial"/>
      <i val="1"/>
      <color rgb="001A4472"/>
      <sz val="9"/>
    </font>
    <font>
      <name val="Arial"/>
      <b val="1"/>
      <color rgb="001A4472"/>
      <sz val="11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A4472"/>
      </patternFill>
    </fill>
    <fill>
      <patternFill patternType="solid">
        <fgColor rgb="00FFD7D7"/>
      </patternFill>
    </fill>
    <fill>
      <patternFill patternType="solid">
        <fgColor rgb="00FFF3E0"/>
      </patternFill>
    </fill>
    <fill>
      <patternFill patternType="solid">
        <fgColor rgb="00F4F4F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D6A9F"/>
      </patternFill>
    </fill>
    <fill>
      <patternFill patternType="solid">
        <fgColor rgb="00FFFDE7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0" borderId="0" pivotButton="0" quotePrefix="0" xfId="0"/>
    <xf numFmtId="0" fontId="7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7" fillId="3" borderId="0" pivotButton="0" quotePrefix="0" xfId="0"/>
    <xf numFmtId="0" fontId="9" fillId="6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7" fillId="12" borderId="0" applyAlignment="1" pivotButton="0" quotePrefix="0" xfId="0">
      <alignment vertical="top" wrapText="1"/>
    </xf>
    <xf numFmtId="0" fontId="7" fillId="13" borderId="0" applyAlignment="1" pivotButton="0" quotePrefix="0" xfId="0">
      <alignment vertical="top" wrapText="1"/>
    </xf>
    <xf numFmtId="0" fontId="7" fillId="12" borderId="0" pivotButton="0" quotePrefix="0" xfId="0"/>
    <xf numFmtId="0" fontId="7" fillId="14" borderId="0" pivotButton="0" quotePrefix="0" xfId="0"/>
    <xf numFmtId="0" fontId="7" fillId="15" borderId="0" pivotButton="0" quotePrefix="0" xfId="0"/>
    <xf numFmtId="0" fontId="7" fillId="16" borderId="0" pivotButton="0" quotePrefix="0" xfId="0"/>
    <xf numFmtId="0" fontId="7" fillId="4" borderId="0" pivotButton="0" quotePrefix="0" xfId="0"/>
    <xf numFmtId="0" fontId="7" fillId="8" borderId="0" pivotButton="0" quotePrefix="0" xfId="0"/>
    <xf numFmtId="0" fontId="1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Dataset comportemental — AFCC Synthèse Enquête 2021 sur les publics des Chemins de Compostelle</t>
        </is>
      </c>
    </row>
    <row r="2">
      <c r="A2" s="2" t="inlineStr"/>
    </row>
    <row r="3">
      <c r="A3" s="3" t="inlineStr">
        <is>
          <t>NATURE DU DOCUMENT</t>
        </is>
      </c>
    </row>
    <row r="4">
      <c r="A4" s="2" t="inlineStr">
        <is>
          <t>Enquête comportementale (survey), N=3 565 répondants, terrain mai–novembre 2021.</t>
        </is>
      </c>
    </row>
    <row r="5">
      <c r="A5" s="2" t="inlineStr">
        <is>
          <t>Nature DIFFÉRENTE du dataset principal (01_data_long = comptages de flux physiques).</t>
        </is>
      </c>
    </row>
    <row r="6">
      <c r="A6" s="2" t="inlineStr">
        <is>
          <t>Ce fichier constitue la COUCHE COMPORTEMENTALE du projet — à lier via source_id='AFCC_SYNTHESE_2021'.</t>
        </is>
      </c>
    </row>
    <row r="7">
      <c r="A7" s="2" t="inlineStr"/>
    </row>
    <row r="8">
      <c r="A8" s="3" t="inlineStr">
        <is>
          <t>STRUCTURE (6 feuilles de données + 1 feuille biais)</t>
        </is>
      </c>
    </row>
    <row r="9">
      <c r="A9" s="2" t="inlineStr">
        <is>
          <t>01_parametres_flux     : paramètres comportementaux directement utilisables pour le modèle à compartiments</t>
        </is>
      </c>
    </row>
    <row r="10">
      <c r="A10" s="2" t="inlineStr">
        <is>
          <t>02_voies_distribution  : répartition % par voie (clé de pondération inter-sources)</t>
        </is>
      </c>
    </row>
    <row r="11">
      <c r="A11" s="2" t="inlineStr">
        <is>
          <t>03_departements_cartes : % de répondants traversant chaque département (carte p.9)</t>
        </is>
      </c>
    </row>
    <row r="12">
      <c r="A12" s="2" t="inlineStr">
        <is>
          <t>04_saisonnalite        : distribution mensuelle des cheminements (p.10) + saisonnalité satisfaction</t>
        </is>
      </c>
    </row>
    <row r="13">
      <c r="A13" s="2" t="inlineStr">
        <is>
          <t>05_profil_typologies   : profil socio-démo (p.11-12), typologies comportementales (p.24-25)</t>
        </is>
      </c>
    </row>
    <row r="14">
      <c r="A14" s="2" t="inlineStr">
        <is>
          <t>06_satisfaction_eco    : notes satisfaction /4 (p.19-21) + formule impact économique (p.18)</t>
        </is>
      </c>
    </row>
    <row r="15">
      <c r="A15" s="2" t="inlineStr">
        <is>
          <t>00_biais_caveats       : liste exhaustive des biais, limites et corrections à appliquer</t>
        </is>
      </c>
    </row>
    <row r="16">
      <c r="A16" s="2" t="inlineStr"/>
    </row>
    <row r="17">
      <c r="A17" s="3" t="inlineStr">
        <is>
          <t>LIEN AVEC LE DATASET PRINCIPAL</t>
        </is>
      </c>
    </row>
    <row r="18">
      <c r="A18" s="2" t="inlineStr">
        <is>
          <t>Les paramètres de cette Synthèse (durée, distance, dépense/nuit) alimentent directement la formule</t>
        </is>
      </c>
    </row>
    <row r="19">
      <c r="A19" s="2" t="inlineStr">
        <is>
          <t>d'impact économique F×T×D documentée p.18 du PDF et applicable à chaque éco-compteur du dataset flux.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50" customWidth="1" min="4" max="4"/>
    <col width="45" customWidth="1" min="5" max="5"/>
    <col width="45" customWidth="1" min="6" max="6"/>
  </cols>
  <sheetData>
    <row r="1">
      <c r="A1" s="4" t="inlineStr">
        <is>
          <t>Biais et limites de l'enquête AFCC Synthèse 2021 — exhaustif</t>
        </is>
      </c>
    </row>
    <row r="2">
      <c r="A2" s="5" t="inlineStr">
        <is>
          <t>Source : 6_-AFCC-SYNTHESE-ETUDE.pdf — analyse critique des conditions d'enquête</t>
        </is>
      </c>
    </row>
    <row r="4" ht="28" customHeight="1">
      <c r="A4" s="6" t="inlineStr">
        <is>
          <t>ID</t>
        </is>
      </c>
      <c r="B4" s="6" t="inlineStr">
        <is>
          <t>Type de biais</t>
        </is>
      </c>
      <c r="C4" s="6" t="inlineStr">
        <is>
          <t>Sévérité</t>
        </is>
      </c>
      <c r="D4" s="6" t="inlineStr">
        <is>
          <t>Description précise</t>
        </is>
      </c>
      <c r="E4" s="6" t="inlineStr">
        <is>
          <t>Impact sur les données</t>
        </is>
      </c>
      <c r="F4" s="6" t="inlineStr">
        <is>
          <t>Correction recommandée</t>
        </is>
      </c>
    </row>
    <row r="5" ht="65" customHeight="1">
      <c r="A5" s="7" t="inlineStr">
        <is>
          <t>B01</t>
        </is>
      </c>
      <c r="B5" s="7" t="inlineStr">
        <is>
          <t>Biais temporel — Année jacquaire 2021</t>
        </is>
      </c>
      <c r="C5" s="7" t="inlineStr">
        <is>
          <t>ÉLEVÉE</t>
        </is>
      </c>
      <c r="D5" s="7" t="inlineStr">
        <is>
          <t>L'enquête terrain se déroule mai–novembre 2021. Or 2021 est une année jacquaire (le 25 juillet tombe un dimanche, fête de Saint-Jacques) — événement rare (tous les 6-7 ans). La fréquentation est structurellement anormale.</t>
        </is>
      </c>
      <c r="E5" s="7" t="inlineStr">
        <is>
          <t>Les % de mois (août 23%, sept 23%) et les volumes sont gonflés vs une année ordinaire. La durée moyenne et les motivations peuvent être biaisées vers des profils plus 'engagés' attirés par l'année sainte.</t>
        </is>
      </c>
      <c r="F5" s="7" t="inlineStr">
        <is>
          <t>Ne pas utiliser la saisonnalité brute pour projections. Croiser avec la distribution mensuelle SJPP 2018-2024 (données de flux réelles) pour recalibrer.</t>
        </is>
      </c>
    </row>
    <row r="6" ht="65" customHeight="1">
      <c r="A6" s="7" t="inlineStr">
        <is>
          <t>B02</t>
        </is>
      </c>
      <c r="B6" s="7" t="inlineStr">
        <is>
          <t>Biais temporel — Sous-représentation du printemps</t>
        </is>
      </c>
      <c r="C6" s="7" t="inlineStr">
        <is>
          <t>MOYENNE</t>
        </is>
      </c>
      <c r="D6" s="7" t="inlineStr">
        <is>
          <t>Le terrain commence en mai (pas en avril). Le document le mentionne explicitement : 'une sous-représentation des mois de printemps dans les résultats'. Avril = 3% est probablement sous-estimé.</t>
        </is>
      </c>
      <c r="E6" s="7" t="inlineStr">
        <is>
          <t>La saisonnalité de la feuille 04 sous-estime le printemps (avril, début mai). Le vrai pic précoce (Semaine Sainte, ponts de mai) est mal capturé.</t>
        </is>
      </c>
      <c r="F6" s="7" t="inlineStr">
        <is>
          <t>Utiliser les données SJPP mensuelles comme référence de saisonnalité (source continue, non biaisée par démarrage de terrain).</t>
        </is>
      </c>
    </row>
    <row r="7" ht="65" customHeight="1">
      <c r="A7" s="8" t="inlineStr">
        <is>
          <t>B03</t>
        </is>
      </c>
      <c r="B7" s="8" t="inlineStr">
        <is>
          <t>Biais de recrutement numérique</t>
        </is>
      </c>
      <c r="C7" s="8" t="inlineStr">
        <is>
          <t>MOYENNE</t>
        </is>
      </c>
      <c r="D7" s="8" t="inlineStr">
        <is>
          <t>L'enquête combine terrain papier + numérique (emailing, réseaux sociaux). Le canal numérique surreprésente les cheminants connectés, probablement : femmes, moins de 50 ans, voie du Puy (plus digitalisée). La plateforme sociale (Facebook, Instagram) attire certains profils.</t>
        </is>
      </c>
      <c r="E7" s="8" t="inlineStr">
        <is>
          <t>Possible surreprésentation des femmes (54% vs proportion réelle inconnue mais attendue proche de 50-55%). Possible biais voie du Puy. Les voies secondaires moins présentes sur les réseaux sont sous-représentées dans l'échantillon numérique.</t>
        </is>
      </c>
      <c r="F7" s="8" t="inlineStr">
        <is>
          <t>Le redressement par pondération neutralise partiellement ce biais ('très faible car base brute proche des objectifs'). Fiabilité globale maintenue mais prudence sur segmentations fines par voie.</t>
        </is>
      </c>
    </row>
    <row r="8" ht="65" customHeight="1">
      <c r="A8" s="8" t="inlineStr">
        <is>
          <t>B04</t>
        </is>
      </c>
      <c r="B8" s="8" t="inlineStr">
        <is>
          <t>Biais de survivorship (sélection des cheminants actifs)</t>
        </is>
      </c>
      <c r="C8" s="8" t="inlineStr">
        <is>
          <t>MOYENNE</t>
        </is>
      </c>
      <c r="D8" s="8" t="inlineStr">
        <is>
          <t>On interroge des personnes EN COURS de cheminement ou venant de le terminer. Les cheminants qui ont abandonné après 1-5 jours (problème physique, logistique) sont quasi absents de l'échantillon.</t>
        </is>
      </c>
      <c r="E8" s="8" t="inlineStr">
        <is>
          <t>La durée moyenne 27.8 jours et la distance 25.7 km/j sont surestimées par rapport à la population réelle de 'débutants de chemin'. Les primo-cheminants difficiles à financer ou qui stoppent vite ne sont pas mesurés.</t>
        </is>
      </c>
      <c r="F8" s="8" t="inlineStr">
        <is>
          <t>Pour le modèle à compartiments, distinguer : flux bruts entrants (éco-compteurs) vs flux 'finisseurs' (SJPP). Le taux de complétion implicite = SJPP / éco-compteur Conques donne une estimation du taux d'abandon.</t>
        </is>
      </c>
    </row>
    <row r="9" ht="65" customHeight="1">
      <c r="A9" s="9" t="inlineStr">
        <is>
          <t>B05</t>
        </is>
      </c>
      <c r="B9" s="9" t="inlineStr">
        <is>
          <t>Biais de recomposition algorithmique des itinéraires</t>
        </is>
      </c>
      <c r="C9" s="9" t="inlineStr">
        <is>
          <t>FAIBLE</t>
        </is>
      </c>
      <c r="D9" s="9" t="inlineStr">
        <is>
          <t>La méthodo reconstitue l'itinéraire complet de chaque répondant à partir de : point de départ, point d'arrivée, durée, voies pratiquées. Ce calcul algorithmique dérive ensuite les départements traversés.</t>
        </is>
      </c>
      <c r="E9" s="9" t="inlineStr">
        <is>
          <t>Les % de traversée par département (feuille 03) ne sont PAS des observations directes — ce sont des estimations calculées. L'algorithme suppose une marche linéaire sans détours. Les variantes locales, les etapes bus, les retours sont ignorés.</t>
        </is>
      </c>
      <c r="F9" s="9" t="inlineStr">
        <is>
          <t>Interpréter les % de départements comme des ordres de grandeur (±5 pts). Fiabilité MOYENNE. Compléter avec données SJPP par voie d'origine et éco-compteurs locaux.</t>
        </is>
      </c>
    </row>
    <row r="10" ht="65" customHeight="1">
      <c r="A10" s="8" t="inlineStr">
        <is>
          <t>B06</t>
        </is>
      </c>
      <c r="B10" s="8" t="inlineStr">
        <is>
          <t>Biais de la durée moyenne 27.8 jours (toutes voies confondues)</t>
        </is>
      </c>
      <c r="C10" s="8" t="inlineStr">
        <is>
          <t>MOYENNE</t>
        </is>
      </c>
      <c r="D10" s="8" t="inlineStr">
        <is>
          <t>La durée de 27.8 jours est une moyenne ALL voies. Voie du Puy (755 km / 25.7 km/j ≈ 29.4 j), Arles (826 km ≈ 32.1 j), Vézelay (900 km ≈ 35 j) ont des durées très différentes. La pondération par voie (55% Puy) tire la moyenne vers le bas.</t>
        </is>
      </c>
      <c r="E10" s="8" t="inlineStr">
        <is>
          <t>Utiliser 27.8 j comme paramètre T de la formule F×T×D sur la voie du Puy sera légèrement sous-estimé (29 j réels). Sur Arles/Vézelay, l'estimation sera très sous-estimée.</t>
        </is>
      </c>
      <c r="F10" s="8" t="inlineStr">
        <is>
          <t>Appliquer des durées par voie dans le modèle : T_Puy ≈ 29j, T_Arles ≈ 32j, T_Vezelay ≈ 35j. Ou calculer via distance voie / 25.7 km/j.</t>
        </is>
      </c>
    </row>
    <row r="11" ht="65" customHeight="1">
      <c r="A11" s="9" t="inlineStr">
        <is>
          <t>B07</t>
        </is>
      </c>
      <c r="B11" s="9" t="inlineStr">
        <is>
          <t>Biais dépenses — Hors frais de transport vers le départ</t>
        </is>
      </c>
      <c r="C11" s="9" t="inlineStr">
        <is>
          <t>FAIBLE</t>
        </is>
      </c>
      <c r="D11" s="9" t="inlineStr">
        <is>
          <t>Le document précise explicitement : 'Ne sont pris en compte que les dépenses engagées pendant le cheminement, hors frais pour se rendre sur son point de départ et/ou revenir à son domicile.'</t>
        </is>
      </c>
      <c r="E11" s="9" t="inlineStr">
        <is>
          <t>Le budget 45.4€/j et 1,154€ total NE comprennent PAS le billet SNCF/avion pour rejoindre le point de départ. L'impact économique territorial est donc correctement calculé (dépenses locales), mais l'impact économique TOTAL pour le pèlerin est sous-estimé.</t>
        </is>
      </c>
      <c r="F11" s="9" t="inlineStr">
        <is>
          <t>Utiliser 45.4€/j et le détail hébergement/nourriture/autres pour le calcul F×T×D local. Ne pas confondre avec le budget vacances total.</t>
        </is>
      </c>
    </row>
    <row r="12" ht="65" customHeight="1">
      <c r="A12" s="8" t="inlineStr">
        <is>
          <t>B08</t>
        </is>
      </c>
      <c r="B12" s="8" t="inlineStr">
        <is>
          <t>Biais de représentativité par voie sur données fines</t>
        </is>
      </c>
      <c r="C12" s="8" t="inlineStr">
        <is>
          <t>MOYENNE</t>
        </is>
      </c>
      <c r="D12" s="8" t="inlineStr">
        <is>
          <t>L'échantillon de 3,565 répondants est calé sur la distribution réelle par voie. Voie du Puy = 55% ≈ 1,960 répondants (solide). Voie d'Arles = 13% ≈ 463 répondants. Voie de Tours = 10% ≈ 357 répondants.</t>
        </is>
      </c>
      <c r="E12" s="8" t="inlineStr">
        <is>
          <t>Les analyses fines (satisfaction par voie, difficultés hébergement par voie) sur les voies secondaires ont des marges d'erreur beaucoup plus larges que sur la voie du Puy. Par exemple : 35% de difficultés sur voie du Puy (base ~1,960 = marge ±2%) vs 58% sur Vézelay (base ~428 = marge ±5%).</t>
        </is>
      </c>
      <c r="F12" s="8" t="inlineStr">
        <is>
          <t>Indiquer les bases de calcul par voie dans toute analyse segmentée. Ne pas tirer de conclusions tranchées sur les voies secondaires à partir de sous-groupes &lt;500.</t>
        </is>
      </c>
    </row>
    <row r="13" ht="65" customHeight="1">
      <c r="A13" s="8" t="inlineStr">
        <is>
          <t>B09</t>
        </is>
      </c>
      <c r="B13" s="8" t="inlineStr">
        <is>
          <t>Méthodologie 'nettoyage éco-compteurs' dans la formule F×T×D</t>
        </is>
      </c>
      <c r="C13" s="8" t="inlineStr">
        <is>
          <t>MOYENNE</t>
        </is>
      </c>
      <c r="D13" s="8" t="inlineStr">
        <is>
          <t>La formule d'impact économique F×T×D (p.18) utilise F = 'données nettoyées des éco-compteurs'. Le 'nettoyage' (retrait des fréquentations nocturnes, aberrantes...) est mentionné mais non défini quantitativement dans le document.</t>
        </is>
      </c>
      <c r="E13" s="8" t="inlineStr">
        <is>
          <t>On ne sait pas quel pourcentage de passages est retiré lors du 'nettoyage'. L'exemple Lot (F=13,539 vs 20,270 bruts d'après Bilan 2024) suggère une correction d'environ -33%. Mais cette correction peut varier selon le contexte.</t>
        </is>
      </c>
      <c r="F13" s="8" t="inlineStr">
        <is>
          <t>Demander à Lot Tourisme / AFCC la méthode de nettoyage précise. En attendant, appliquer un coefficient de correction de 0.65-0.70 sur les données brutes GR65 pour obtenir un F estimé de pèlerins longue distance.</t>
        </is>
      </c>
    </row>
    <row r="14" ht="65" customHeight="1">
      <c r="A14" s="9" t="inlineStr">
        <is>
          <t>B10</t>
        </is>
      </c>
      <c r="B14" s="9" t="inlineStr">
        <is>
          <t>Profil 88% résidents français — biais géographique enquête</t>
        </is>
      </c>
      <c r="C14" s="9" t="inlineStr">
        <is>
          <t>FAIBLE</t>
        </is>
      </c>
      <c r="D14" s="9" t="inlineStr">
        <is>
          <t>88% des répondants résident en France. L'enquête en langue française (+ version anglaise) sous-représente les cheminants non-francophones/non-anglophones (notamment les pèlerins espagnols, coréens, japonais qui représentent une part non négligeable des arrivées à SJPP).</t>
        </is>
      </c>
      <c r="E14" s="9" t="inlineStr">
        <is>
          <t>Le profil socio-démographique de la feuille 05 décrit essentiellement le pèlerin FRANÇAIS. Les données de nationalité disponibles dans le dataset SJPP (template_SJPP_saisie_v2.xlsx) montrent une bien plus grande diversité.</t>
        </is>
      </c>
      <c r="F14" s="9" t="inlineStr">
        <is>
          <t>Pour l'analyse des profils internationaux, croiser avec les données de nationalité SJPP 2024 (119 nationalités, France 9,945, US 8,668, Corée du Sud 5,011...).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4" customWidth="1" min="4" max="4"/>
    <col width="8" customWidth="1" min="5" max="5"/>
    <col width="10" customWidth="1" min="6" max="6"/>
    <col width="28" customWidth="1" min="7" max="7"/>
    <col width="65" customWidth="1" min="8" max="8"/>
    <col width="14" customWidth="1" min="9" max="9"/>
  </cols>
  <sheetData>
    <row r="1">
      <c r="A1" s="10" t="inlineStr">
        <is>
          <t>Paramètres comportementaux pour le modèle à compartiments — AFCC Synthèse 2021</t>
        </is>
      </c>
    </row>
    <row r="2">
      <c r="A2" s="5" t="inlineStr">
        <is>
          <t>Données directement utilisables pour calibrer le modèle de flux F×T×D et les taux de transition entre compartiments</t>
        </is>
      </c>
    </row>
    <row r="4" ht="28" customHeight="1">
      <c r="A4" s="6" t="inlineStr">
        <is>
          <t>parametre_id</t>
        </is>
      </c>
      <c r="B4" s="6" t="inlineStr">
        <is>
          <t>nom</t>
        </is>
      </c>
      <c r="C4" s="6" t="inlineStr">
        <is>
          <t>valeur</t>
        </is>
      </c>
      <c r="D4" s="6" t="inlineStr">
        <is>
          <t>unite</t>
        </is>
      </c>
      <c r="E4" s="6" t="inlineStr">
        <is>
          <t>page_pdf</t>
        </is>
      </c>
      <c r="F4" s="6" t="inlineStr">
        <is>
          <t>fiabilite</t>
        </is>
      </c>
      <c r="G4" s="6" t="inlineStr">
        <is>
          <t>pertinence_modele</t>
        </is>
      </c>
      <c r="H4" s="6" t="inlineStr">
        <is>
          <t>commentaire</t>
        </is>
      </c>
      <c r="I4" s="6" t="inlineStr">
        <is>
          <t>biais_ref</t>
        </is>
      </c>
    </row>
    <row r="5" ht="45" customHeight="1">
      <c r="A5" s="9" t="inlineStr">
        <is>
          <t>P01</t>
        </is>
      </c>
      <c r="B5" s="9" t="inlineStr">
        <is>
          <t>N total répondants</t>
        </is>
      </c>
      <c r="C5" s="9" t="n">
        <v>3565</v>
      </c>
      <c r="D5" s="9" t="inlineStr">
        <is>
          <t>répondants</t>
        </is>
      </c>
      <c r="E5" s="9" t="n">
        <v>2</v>
      </c>
      <c r="F5" s="9" t="inlineStr">
        <is>
          <t>ÉLEVÉE</t>
        </is>
      </c>
      <c r="G5" s="9" t="inlineStr">
        <is>
          <t>RÉFÉRENCE</t>
        </is>
      </c>
      <c r="H5" s="9" t="inlineStr">
        <is>
          <t>3,640 récoltés, 3,565 conservés après filtrage (hors France ou avant 2019, aberrants)</t>
        </is>
      </c>
      <c r="I5" s="9" t="inlineStr"/>
    </row>
    <row r="6" ht="45" customHeight="1">
      <c r="A6" s="9" t="inlineStr">
        <is>
          <t>P02</t>
        </is>
      </c>
      <c r="B6" s="9" t="inlineStr">
        <is>
          <t>N points de diffusion</t>
        </is>
      </c>
      <c r="C6" s="9" t="n">
        <v>500</v>
      </c>
      <c r="D6" s="9" t="inlineStr">
        <is>
          <t>sites</t>
        </is>
      </c>
      <c r="E6" s="9" t="n">
        <v>1</v>
      </c>
      <c r="F6" s="9" t="inlineStr">
        <is>
          <t>ÉLEVÉE</t>
        </is>
      </c>
      <c r="G6" s="9" t="inlineStr">
        <is>
          <t>INFO</t>
        </is>
      </c>
      <c r="H6" s="9" t="inlineStr">
        <is>
          <t>500 points terrain + réseaux sociaux. Couverture nationale.</t>
        </is>
      </c>
      <c r="I6" s="9" t="inlineStr"/>
    </row>
    <row r="7" ht="45" customHeight="1">
      <c r="A7" s="9" t="inlineStr">
        <is>
          <t>P03</t>
        </is>
      </c>
      <c r="B7" s="9" t="inlineStr">
        <is>
          <t>Période enquête terrain</t>
        </is>
      </c>
      <c r="C7" s="9" t="inlineStr">
        <is>
          <t>mai-novembre 2021</t>
        </is>
      </c>
      <c r="D7" s="9" t="n"/>
      <c r="E7" s="9" t="n">
        <v>1</v>
      </c>
      <c r="F7" s="9" t="inlineStr">
        <is>
          <t>INFO</t>
        </is>
      </c>
      <c r="G7" s="9" t="inlineStr">
        <is>
          <t>CAVEAT</t>
        </is>
      </c>
      <c r="H7" s="9" t="inlineStr">
        <is>
          <t>Sous-représentation printemps. Année jacquaire 2021.</t>
        </is>
      </c>
      <c r="I7" s="9" t="inlineStr">
        <is>
          <t>B01,B02</t>
        </is>
      </c>
    </row>
    <row r="8" ht="45" customHeight="1">
      <c r="A8" s="11" t="inlineStr">
        <is>
          <t>P04</t>
        </is>
      </c>
      <c r="B8" s="11" t="inlineStr">
        <is>
          <t>Distance quotidienne moyenne</t>
        </is>
      </c>
      <c r="C8" s="11" t="n">
        <v>25.7</v>
      </c>
      <c r="D8" s="11" t="inlineStr">
        <is>
          <t>km/jour</t>
        </is>
      </c>
      <c r="E8" s="11" t="n">
        <v>10</v>
      </c>
      <c r="F8" s="11" t="inlineStr">
        <is>
          <t>ÉLEVÉE</t>
        </is>
      </c>
      <c r="G8" s="11" t="inlineStr">
        <is>
          <t>CRITIQUE — modèle compartiments</t>
        </is>
      </c>
      <c r="H8" s="11" t="inlineStr">
        <is>
          <t>Permet de calculer le nb d'étapes dans une zone : ex. Lot (Felzins→Labastide-Marnhac ≈ 170 km) = 170/25.7 ≈ 6.6 étapes ≈ 6-7 nuits</t>
        </is>
      </c>
      <c r="I8" s="11" t="inlineStr">
        <is>
          <t>B04</t>
        </is>
      </c>
    </row>
    <row r="9" ht="45" customHeight="1">
      <c r="A9" s="11" t="inlineStr">
        <is>
          <t>P05</t>
        </is>
      </c>
      <c r="B9" s="11" t="inlineStr">
        <is>
          <t>Durée totale moyenne du cheminement</t>
        </is>
      </c>
      <c r="C9" s="11" t="n">
        <v>27.8</v>
      </c>
      <c r="D9" s="11" t="inlineStr">
        <is>
          <t>jours</t>
        </is>
      </c>
      <c r="E9" s="11" t="n">
        <v>10</v>
      </c>
      <c r="F9" s="11" t="inlineStr">
        <is>
          <t>ÉLEVÉE</t>
        </is>
      </c>
      <c r="G9" s="11" t="inlineStr">
        <is>
          <t>CRITIQUE — paramètre T de F×T×D</t>
        </is>
      </c>
      <c r="H9" s="11" t="inlineStr">
        <is>
          <t>Moyenne toutes voies. Via Puy calculé : 755/25.7 ≈ 29.4j. Utiliser durée par voie pour le modèle.</t>
        </is>
      </c>
      <c r="I9" s="11" t="inlineStr">
        <is>
          <t>B06</t>
        </is>
      </c>
    </row>
    <row r="10" ht="45" customHeight="1">
      <c r="A10" s="11" t="inlineStr">
        <is>
          <t>P06</t>
        </is>
      </c>
      <c r="B10" s="11" t="inlineStr">
        <is>
          <t>Durée estimée via Podiensis</t>
        </is>
      </c>
      <c r="C10" s="11" t="n">
        <v>29.4</v>
      </c>
      <c r="D10" s="11" t="inlineStr">
        <is>
          <t>jours</t>
        </is>
      </c>
      <c r="E10" s="11" t="n">
        <v>10</v>
      </c>
      <c r="F10" s="11" t="inlineStr">
        <is>
          <t>CALCULÉE</t>
        </is>
      </c>
      <c r="G10" s="11" t="inlineStr">
        <is>
          <t>CRITIQUE</t>
        </is>
      </c>
      <c r="H10" s="11" t="inlineStr">
        <is>
          <t>Calculé : 755 km / 25.7 km/j = 29.4 jours. Valeur à utiliser pour modèle centré GR65.</t>
        </is>
      </c>
      <c r="I10" s="11" t="inlineStr">
        <is>
          <t>B06</t>
        </is>
      </c>
    </row>
    <row r="11" ht="45" customHeight="1">
      <c r="A11" s="11" t="inlineStr">
        <is>
          <t>P07</t>
        </is>
      </c>
      <c r="B11" s="11" t="inlineStr">
        <is>
          <t>Mode déplacement — à pied</t>
        </is>
      </c>
      <c r="C11" s="11" t="n">
        <v>97</v>
      </c>
      <c r="D11" s="11" t="inlineStr">
        <is>
          <t>pourcentage</t>
        </is>
      </c>
      <c r="E11" s="11" t="n">
        <v>13</v>
      </c>
      <c r="F11" s="11" t="inlineStr">
        <is>
          <t>ÉLEVÉE</t>
        </is>
      </c>
      <c r="G11" s="11" t="inlineStr">
        <is>
          <t>CONFIRMATION</t>
        </is>
      </c>
      <c r="H11" s="11" t="inlineStr">
        <is>
          <t>Marginalise le vélo dans le modèle. 3% vélo non-modélisable séparément avec données actuelles.</t>
        </is>
      </c>
      <c r="I11" s="11" t="inlineStr"/>
    </row>
    <row r="12" ht="45" customHeight="1">
      <c r="A12" s="11" t="inlineStr">
        <is>
          <t>P08</t>
        </is>
      </c>
      <c r="B12" s="11" t="inlineStr">
        <is>
          <t>Cheminement en autonomie totale</t>
        </is>
      </c>
      <c r="C12" s="11" t="n">
        <v>75</v>
      </c>
      <c r="D12" s="11" t="inlineStr">
        <is>
          <t>pourcentage</t>
        </is>
      </c>
      <c r="E12" s="11" t="n">
        <v>13</v>
      </c>
      <c r="F12" s="11" t="inlineStr">
        <is>
          <t>ÉLEVÉE</t>
        </is>
      </c>
      <c r="G12" s="11" t="inlineStr">
        <is>
          <t>INFO</t>
        </is>
      </c>
      <c r="H12" s="11" t="inlineStr">
        <is>
          <t>3/4 des pèlerins sans service payant. 14% portage bagages. 9% navettes.</t>
        </is>
      </c>
      <c r="I12" s="11" t="inlineStr"/>
    </row>
    <row r="13" ht="45" customHeight="1">
      <c r="A13" s="11" t="inlineStr">
        <is>
          <t>P09</t>
        </is>
      </c>
      <c r="B13" s="11" t="inlineStr">
        <is>
          <t>Part primo-cheminants</t>
        </is>
      </c>
      <c r="C13" s="11" t="n">
        <v>51</v>
      </c>
      <c r="D13" s="11" t="inlineStr">
        <is>
          <t>pourcentage</t>
        </is>
      </c>
      <c r="E13" s="11" t="n">
        <v>12</v>
      </c>
      <c r="F13" s="11" t="inlineStr">
        <is>
          <t>ÉLEVÉE</t>
        </is>
      </c>
      <c r="G13" s="11" t="inlineStr">
        <is>
          <t>CRITIQUE — modèle compartiments</t>
        </is>
      </c>
      <c r="H13" s="11" t="inlineStr">
        <is>
          <t>1 cheminant sur 2 fait le chemin pour la 1ère fois. 37% ont déjà fait 2-5 fois. 12% 5+ fois.</t>
        </is>
      </c>
      <c r="I13" s="11" t="inlineStr"/>
    </row>
    <row r="14" ht="45" customHeight="1">
      <c r="A14" s="11" t="inlineStr">
        <is>
          <t>P10</t>
        </is>
      </c>
      <c r="B14" s="11" t="inlineStr">
        <is>
          <t>Part multi-cheminants (2-5 fois)</t>
        </is>
      </c>
      <c r="C14" s="11" t="n">
        <v>37</v>
      </c>
      <c r="D14" s="11" t="inlineStr">
        <is>
          <t>pourcentage</t>
        </is>
      </c>
      <c r="E14" s="11" t="n">
        <v>12</v>
      </c>
      <c r="F14" s="11" t="inlineStr">
        <is>
          <t>ÉLEVÉE</t>
        </is>
      </c>
      <c r="G14" s="11" t="inlineStr">
        <is>
          <t>CRITIQUE</t>
        </is>
      </c>
      <c r="H14" s="11" t="inlineStr">
        <is>
          <t>Ces 37% sont les 'flux de retour'. Ils reviennent d'une année sur l'autre reprendre là où ils s'étaient arrêtés.</t>
        </is>
      </c>
      <c r="I14" s="11" t="inlineStr"/>
    </row>
    <row r="15" ht="45" customHeight="1">
      <c r="A15" s="11" t="inlineStr">
        <is>
          <t>P11</t>
        </is>
      </c>
      <c r="B15" s="11" t="inlineStr">
        <is>
          <t>Part très expérimentés (5+ fois)</t>
        </is>
      </c>
      <c r="C15" s="11" t="n">
        <v>12</v>
      </c>
      <c r="D15" s="11" t="inlineStr">
        <is>
          <t>pourcentage</t>
        </is>
      </c>
      <c r="E15" s="11" t="n">
        <v>12</v>
      </c>
      <c r="F15" s="11" t="inlineStr">
        <is>
          <t>ÉLEVÉE</t>
        </is>
      </c>
      <c r="G15" s="11" t="inlineStr">
        <is>
          <t>INFO</t>
        </is>
      </c>
      <c r="H15" s="11" t="inlineStr">
        <is>
          <t>Ces 12% ('afficionados') font souvent des variantes ou des sections nouvelles.</t>
        </is>
      </c>
      <c r="I15" s="11" t="inlineStr"/>
    </row>
    <row r="16" ht="45" customHeight="1">
      <c r="A16" s="11" t="inlineStr">
        <is>
          <t>P12</t>
        </is>
      </c>
      <c r="B16" s="11" t="inlineStr">
        <is>
          <t>Intention de retour sur les Chemins</t>
        </is>
      </c>
      <c r="C16" s="11" t="n">
        <v>89</v>
      </c>
      <c r="D16" s="11" t="inlineStr">
        <is>
          <t>pourcentage</t>
        </is>
      </c>
      <c r="E16" s="11" t="n">
        <v>22</v>
      </c>
      <c r="F16" s="11" t="inlineStr">
        <is>
          <t>ÉLEVÉE</t>
        </is>
      </c>
      <c r="G16" s="11" t="inlineStr">
        <is>
          <t>CRITIQUE — taux de fidélisation</t>
        </is>
      </c>
      <c r="H16" s="11" t="inlineStr">
        <is>
          <t>69% 'oui dans les années à venir' + 20% 'oui cette année'. Taux d'abandon définitif = 1%.</t>
        </is>
      </c>
      <c r="I16" s="11" t="inlineStr"/>
    </row>
    <row r="17" ht="45" customHeight="1">
      <c r="A17" s="11" t="inlineStr">
        <is>
          <t>P13</t>
        </is>
      </c>
      <c r="B17" s="11" t="inlineStr">
        <is>
          <t>Objectif Santiago (ce voyage ou un jour)</t>
        </is>
      </c>
      <c r="C17" s="11" t="n"/>
      <c r="D17" s="11" t="inlineStr">
        <is>
          <t>qualitatif</t>
        </is>
      </c>
      <c r="E17" s="11" t="n">
        <v>4</v>
      </c>
      <c r="F17" s="11" t="inlineStr">
        <is>
          <t>ÉLEVÉE</t>
        </is>
      </c>
      <c r="G17" s="11" t="inlineStr">
        <is>
          <t>CRITIQUE</t>
        </is>
      </c>
      <c r="H17" s="11" t="inlineStr">
        <is>
          <t>2 répondants sur 10 font SJPP leur arrivée programmée. 8 sur 10 font une itinérance courte ou sectionée. Signal clé: 80% sont des sectionnistes potentiels en stock.</t>
        </is>
      </c>
      <c r="I17" s="11" t="inlineStr"/>
    </row>
    <row r="18" ht="45" customHeight="1">
      <c r="A18" s="11" t="inlineStr">
        <is>
          <t>P14</t>
        </is>
      </c>
      <c r="B18" s="11" t="inlineStr">
        <is>
          <t>Fidélisation retour tourisme classique</t>
        </is>
      </c>
      <c r="C18" s="11" t="n">
        <v>88</v>
      </c>
      <c r="D18" s="11" t="inlineStr">
        <is>
          <t>pourcentage</t>
        </is>
      </c>
      <c r="E18" s="11" t="n">
        <v>22</v>
      </c>
      <c r="F18" s="11" t="inlineStr">
        <is>
          <t>ÉLEVÉE</t>
        </is>
      </c>
      <c r="G18" s="11" t="inlineStr">
        <is>
          <t>INFO</t>
        </is>
      </c>
      <c r="H18" s="11" t="inlineStr">
        <is>
          <t>30% 'sans aucun doute' + 58% 'possible' = 88% envisagent de revenir en vacances dans un lieu traversé.</t>
        </is>
      </c>
      <c r="I18" s="11" t="inlineStr"/>
    </row>
    <row r="19" ht="45" customHeight="1">
      <c r="A19" s="12" t="inlineStr">
        <is>
          <t>P15</t>
        </is>
      </c>
      <c r="B19" s="12" t="inlineStr">
        <is>
          <t>Budget quotidien moyen toutes nationalités</t>
        </is>
      </c>
      <c r="C19" s="12" t="n">
        <v>45.4</v>
      </c>
      <c r="D19" s="12" t="inlineStr">
        <is>
          <t>€/pers/jour</t>
        </is>
      </c>
      <c r="E19" s="12" t="n">
        <v>17</v>
      </c>
      <c r="F19" s="12" t="inlineStr">
        <is>
          <t>ÉLEVÉE</t>
        </is>
      </c>
      <c r="G19" s="12" t="inlineStr">
        <is>
          <t>CRITIQUE — paramètre D de F×T×D</t>
        </is>
      </c>
      <c r="H19" s="12" t="inlineStr">
        <is>
          <t>44.9€ pour Français, 49.3€ pour étrangers. HORS transport pour rejoindre le départ.</t>
        </is>
      </c>
      <c r="I19" s="12" t="inlineStr">
        <is>
          <t>B07</t>
        </is>
      </c>
    </row>
    <row r="20" ht="45" customHeight="1">
      <c r="A20" s="12" t="inlineStr">
        <is>
          <t>P16</t>
        </is>
      </c>
      <c r="B20" s="12" t="inlineStr">
        <is>
          <t>Dépense hébergement quotidienne</t>
        </is>
      </c>
      <c r="C20" s="12" t="n">
        <v>26.7</v>
      </c>
      <c r="D20" s="12" t="inlineStr">
        <is>
          <t>€/pers/nuit</t>
        </is>
      </c>
      <c r="E20" s="12" t="n">
        <v>17</v>
      </c>
      <c r="F20" s="12" t="inlineStr">
        <is>
          <t>ÉLEVÉE</t>
        </is>
      </c>
      <c r="G20" s="12" t="inlineStr">
        <is>
          <t>CRITIQUE</t>
        </is>
      </c>
      <c r="H20" s="12" t="inlineStr">
        <is>
          <t>59% du budget quotidien. C'est le D unitaire hébergement dans F×T×D.</t>
        </is>
      </c>
      <c r="I20" s="12" t="inlineStr">
        <is>
          <t>B07</t>
        </is>
      </c>
    </row>
    <row r="21" ht="45" customHeight="1">
      <c r="A21" s="12" t="inlineStr">
        <is>
          <t>P17</t>
        </is>
      </c>
      <c r="B21" s="12" t="inlineStr">
        <is>
          <t>Dépense nourriture quotidienne</t>
        </is>
      </c>
      <c r="C21" s="12" t="n">
        <v>14.8</v>
      </c>
      <c r="D21" s="12" t="inlineStr">
        <is>
          <t>€/pers/jour</t>
        </is>
      </c>
      <c r="E21" s="12" t="n">
        <v>17</v>
      </c>
      <c r="F21" s="12" t="inlineStr">
        <is>
          <t>ÉLEVÉE</t>
        </is>
      </c>
      <c r="G21" s="12" t="inlineStr">
        <is>
          <t>CRITIQUE</t>
        </is>
      </c>
      <c r="H21" s="12" t="inlineStr"/>
      <c r="I21" s="12" t="inlineStr">
        <is>
          <t>B07</t>
        </is>
      </c>
    </row>
    <row r="22" ht="45" customHeight="1">
      <c r="A22" s="12" t="inlineStr">
        <is>
          <t>P18</t>
        </is>
      </c>
      <c r="B22" s="12" t="inlineStr">
        <is>
          <t>Autres dépenses quotidiennes</t>
        </is>
      </c>
      <c r="C22" s="12" t="n">
        <v>3.8</v>
      </c>
      <c r="D22" s="12" t="inlineStr">
        <is>
          <t>€/pers/jour</t>
        </is>
      </c>
      <c r="E22" s="12" t="n">
        <v>17</v>
      </c>
      <c r="F22" s="12" t="inlineStr">
        <is>
          <t>ÉLEVÉE</t>
        </is>
      </c>
      <c r="G22" s="12" t="inlineStr">
        <is>
          <t>INFO</t>
        </is>
      </c>
      <c r="H22" s="12" t="inlineStr">
        <is>
          <t>Souvenirs, artisanat, visites...</t>
        </is>
      </c>
      <c r="I22" s="12" t="inlineStr">
        <is>
          <t>B07</t>
        </is>
      </c>
    </row>
    <row r="23" ht="45" customHeight="1">
      <c r="A23" s="12" t="inlineStr">
        <is>
          <t>P19</t>
        </is>
      </c>
      <c r="B23" s="12" t="inlineStr">
        <is>
          <t>Budget total moyen cheminement</t>
        </is>
      </c>
      <c r="C23" s="12" t="n">
        <v>1154</v>
      </c>
      <c r="D23" s="12" t="inlineStr">
        <is>
          <t>€/personne</t>
        </is>
      </c>
      <c r="E23" s="12" t="n">
        <v>17</v>
      </c>
      <c r="F23" s="12" t="inlineStr">
        <is>
          <t>ÉLEVÉE</t>
        </is>
      </c>
      <c r="G23" s="12" t="inlineStr">
        <is>
          <t>RÉFÉRENCE</t>
        </is>
      </c>
      <c r="H23" s="12" t="inlineStr">
        <is>
          <t>1,078€ Français, 1,723€ étrangers. Fortement corrélé à la durée (27.8j × 45.4€ ≈ 1,263€ — légère sous-estimation due aux jours sans dépense hébergement).</t>
        </is>
      </c>
      <c r="I23" s="12" t="inlineStr">
        <is>
          <t>B07</t>
        </is>
      </c>
    </row>
    <row r="24" ht="45" customHeight="1">
      <c r="A24" s="12" t="inlineStr">
        <is>
          <t>P20</t>
        </is>
      </c>
      <c r="B24" s="12" t="inlineStr">
        <is>
          <t>Dépense exemple voie du Puy (nuit)</t>
        </is>
      </c>
      <c r="C24" s="12" t="n">
        <v>48.2</v>
      </c>
      <c r="D24" s="12" t="inlineStr">
        <is>
          <t>€/nuit</t>
        </is>
      </c>
      <c r="E24" s="12" t="n">
        <v>18</v>
      </c>
      <c r="F24" s="12" t="inlineStr">
        <is>
          <t>ÉLEVÉE</t>
        </is>
      </c>
      <c r="G24" s="12" t="inlineStr">
        <is>
          <t>CRITIQUE — calibration F×T×D</t>
        </is>
      </c>
      <c r="H24" s="12" t="inlineStr">
        <is>
          <t>Détail : 28.6€ hébergement + 15.6€ nourriture + 4.0€ frais annexes. Correspond au paramètre D dans l'exemple Lot.</t>
        </is>
      </c>
      <c r="I24" s="12" t="inlineStr">
        <is>
          <t>B07</t>
        </is>
      </c>
    </row>
    <row r="25" ht="45" customHeight="1">
      <c r="A25" s="12" t="inlineStr">
        <is>
          <t>P21</t>
        </is>
      </c>
      <c r="B25" s="12" t="inlineStr">
        <is>
          <t>F nettoyé exemple Lot (Figeac-Cahors)</t>
        </is>
      </c>
      <c r="C25" s="12" t="n">
        <v>13539</v>
      </c>
      <c r="D25" s="12" t="inlineStr">
        <is>
          <t>passages</t>
        </is>
      </c>
      <c r="E25" s="12" t="n">
        <v>18</v>
      </c>
      <c r="F25" s="12" t="inlineStr">
        <is>
          <t>ÉLEVÉE</t>
        </is>
      </c>
      <c r="G25" s="12" t="inlineStr">
        <is>
          <t>CRITIQUE — calibration correction biais</t>
        </is>
      </c>
      <c r="H25" s="12" t="inlineStr">
        <is>
          <t>Donnée p.18 : 'moyenne des passages observés sur une année entre Figeac et Cahors grâce aux données nettoyées'. Comparer avec 14,400 Limogne brut 2024 → coefficient nettoyage ≈ 0.94 (Figeac-Cahors ≈ pondération différente). ATTENTION : période de référence non précisée dans le doc (probablement 2019 pré-COVID).</t>
        </is>
      </c>
      <c r="I25" s="12" t="inlineStr">
        <is>
          <t>B09</t>
        </is>
      </c>
    </row>
    <row r="26" ht="45" customHeight="1">
      <c r="A26" s="12" t="inlineStr">
        <is>
          <t>P22</t>
        </is>
      </c>
      <c r="B26" s="12" t="inlineStr">
        <is>
          <t>T (nombre de nuits Lot)</t>
        </is>
      </c>
      <c r="C26" s="12" t="n">
        <v>5</v>
      </c>
      <c r="D26" s="12" t="inlineStr">
        <is>
          <t>nuits</t>
        </is>
      </c>
      <c r="E26" s="12" t="n">
        <v>18</v>
      </c>
      <c r="F26" s="12" t="inlineStr">
        <is>
          <t>ÉLEVÉE</t>
        </is>
      </c>
      <c r="G26" s="12" t="inlineStr">
        <is>
          <t>CRITIQUE</t>
        </is>
      </c>
      <c r="H26" s="12" t="inlineStr">
        <is>
          <t>6 étapes de 25.3 km = 5 nuits dans la zone Figeac-Cahors (170 km / 25.3 km/étape ≈ 6.7 étapes).</t>
        </is>
      </c>
      <c r="I26" s="12" t="inlineStr"/>
    </row>
    <row r="27" ht="45" customHeight="1">
      <c r="A27" s="12" t="inlineStr">
        <is>
          <t>P23</t>
        </is>
      </c>
      <c r="B27" s="12" t="inlineStr">
        <is>
          <t>Impact économique Lot estimé</t>
        </is>
      </c>
      <c r="C27" s="12" t="n">
        <v>3262000</v>
      </c>
      <c r="D27" s="12" t="inlineStr">
        <is>
          <t>€/an</t>
        </is>
      </c>
      <c r="E27" s="12" t="n">
        <v>18</v>
      </c>
      <c r="F27" s="12" t="inlineStr">
        <is>
          <t>ÉLEVÉE</t>
        </is>
      </c>
      <c r="G27" s="12" t="inlineStr">
        <is>
          <t>RÉFÉRENCE</t>
        </is>
      </c>
      <c r="H27" s="12" t="inlineStr">
        <is>
          <t>F×T×D = 13,539 × 5 × 48.2€ = 3,261,798€. Détail: hébergement 1,935,000€, alimentation 1,055,900€, autres 271,100€.</t>
        </is>
      </c>
      <c r="I27" s="12" t="inlineStr">
        <is>
          <t>B07,B09</t>
        </is>
      </c>
    </row>
    <row r="28" ht="45" customHeight="1">
      <c r="A28" s="13" t="inlineStr">
        <is>
          <t>P24</t>
        </is>
      </c>
      <c r="B28" s="13" t="inlineStr">
        <is>
          <t>Part pèlerins utilisant gîtes d'étape</t>
        </is>
      </c>
      <c r="C28" s="13" t="n">
        <v>81</v>
      </c>
      <c r="D28" s="13" t="inlineStr">
        <is>
          <t>pourcentage</t>
        </is>
      </c>
      <c r="E28" s="13" t="n">
        <v>15</v>
      </c>
      <c r="F28" s="13" t="inlineStr">
        <is>
          <t>ÉLEVÉE</t>
        </is>
      </c>
      <c r="G28" s="13" t="inlineStr">
        <is>
          <t>INFO</t>
        </is>
      </c>
      <c r="H28" s="13" t="inlineStr">
        <is>
          <t>Mode principal. Chambres d'hôtes 30%. Presbytères 19%. Note: réponses multiples.</t>
        </is>
      </c>
      <c r="I28" s="13" t="inlineStr"/>
    </row>
    <row r="29" ht="45" customHeight="1">
      <c r="A29" s="13" t="inlineStr">
        <is>
          <t>P25</t>
        </is>
      </c>
      <c r="B29" s="13" t="inlineStr">
        <is>
          <t>Difficultés de logement (jamais)</t>
        </is>
      </c>
      <c r="C29" s="13" t="n">
        <v>57</v>
      </c>
      <c r="D29" s="13" t="inlineStr">
        <is>
          <t>pourcentage</t>
        </is>
      </c>
      <c r="E29" s="13" t="n">
        <v>16</v>
      </c>
      <c r="F29" s="13" t="inlineStr">
        <is>
          <t>ÉLEVÉE</t>
        </is>
      </c>
      <c r="G29" s="13" t="inlineStr">
        <is>
          <t>INFO</t>
        </is>
      </c>
      <c r="H29" s="13" t="inlineStr">
        <is>
          <t>43% ont rencontré des difficultés à se loger. Voie du Puy = 35% (surtout manque de places 67%).</t>
        </is>
      </c>
      <c r="I29" s="13" t="inlineStr"/>
    </row>
    <row r="30" ht="45" customHeight="1">
      <c r="A30" s="13" t="inlineStr">
        <is>
          <t>P26</t>
        </is>
      </c>
      <c r="B30" s="13" t="inlineStr">
        <is>
          <t>Manque d'hébergements dans la zone</t>
        </is>
      </c>
      <c r="C30" s="13" t="n">
        <v>59</v>
      </c>
      <c r="D30" s="13" t="inlineStr">
        <is>
          <t>pourcentage</t>
        </is>
      </c>
      <c r="E30" s="13" t="n">
        <v>16</v>
      </c>
      <c r="F30" s="13" t="inlineStr">
        <is>
          <t>ÉLEVÉE</t>
        </is>
      </c>
      <c r="G30" s="13" t="inlineStr">
        <is>
          <t>INFO</t>
        </is>
      </c>
      <c r="H30" s="13" t="inlineStr">
        <is>
          <t>Parmi ceux qui ont eu des difficultés : 59% manque structures, 48% manque de places, 19% budget.</t>
        </is>
      </c>
      <c r="I30" s="13" t="inlineStr"/>
    </row>
    <row r="31" ht="45" customHeight="1">
      <c r="A31" s="9" t="inlineStr">
        <is>
          <t>P27</t>
        </is>
      </c>
      <c r="B31" s="9" t="inlineStr">
        <is>
          <t>Enquêtés 88% résidents français</t>
        </is>
      </c>
      <c r="C31" s="9" t="n">
        <v>88</v>
      </c>
      <c r="D31" s="9" t="inlineStr">
        <is>
          <t>pourcentage</t>
        </is>
      </c>
      <c r="E31" s="9" t="n">
        <v>4</v>
      </c>
      <c r="F31" s="9" t="inlineStr">
        <is>
          <t>ÉLEVÉE</t>
        </is>
      </c>
      <c r="G31" s="9" t="inlineStr">
        <is>
          <t>CAVEAT</t>
        </is>
      </c>
      <c r="H31" s="9" t="inlineStr">
        <is>
          <t>Clientèle étrangère = ~12%, principalement européenne. Biais enquête francophone sous-représente nationalités non-EU.</t>
        </is>
      </c>
      <c r="I31" s="9" t="inlineStr">
        <is>
          <t>B10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2" customWidth="1" min="4" max="4"/>
    <col width="8" customWidth="1" min="5" max="5"/>
    <col width="10" customWidth="1" min="6" max="6"/>
    <col width="12" customWidth="1" min="7" max="7"/>
    <col width="10" customWidth="1" min="8" max="8"/>
    <col width="20" customWidth="1" min="9" max="9"/>
    <col width="55" customWidth="1" min="10" max="10"/>
  </cols>
  <sheetData>
    <row r="1">
      <c r="A1" s="10" t="inlineStr">
        <is>
          <t>Répartition des répondants par voie empruntée — clé de pondération inter-voies</t>
        </is>
      </c>
    </row>
    <row r="2">
      <c r="A2" s="5" t="inlineStr">
        <is>
          <t>Source : p.9 AFCC Synthèse 2021 — graphique 'Voies empruntées en France'</t>
        </is>
      </c>
    </row>
    <row r="4" ht="28" customHeight="1">
      <c r="A4" s="6" t="inlineStr">
        <is>
          <t>voie_id_dataset</t>
        </is>
      </c>
      <c r="B4" s="6" t="inlineStr">
        <is>
          <t>nom_afcc</t>
        </is>
      </c>
      <c r="C4" s="6" t="inlineStr">
        <is>
          <t>code_gr</t>
        </is>
      </c>
      <c r="D4" s="6" t="inlineStr">
        <is>
          <t>pct_repondants</t>
        </is>
      </c>
      <c r="E4" s="6" t="inlineStr">
        <is>
          <t>n_estime</t>
        </is>
      </c>
      <c r="F4" s="6" t="inlineStr">
        <is>
          <t>passe_sjpp</t>
        </is>
      </c>
      <c r="G4" s="6" t="inlineStr">
        <is>
          <t>passe_somport</t>
        </is>
      </c>
      <c r="H4" s="6" t="inlineStr">
        <is>
          <t>longueur_km</t>
        </is>
      </c>
      <c r="I4" s="6" t="inlineStr">
        <is>
          <t>pertinence_projet</t>
        </is>
      </c>
      <c r="J4" s="6" t="inlineStr">
        <is>
          <t>notes</t>
        </is>
      </c>
    </row>
    <row r="5" ht="18" customHeight="1">
      <c r="A5" s="11" t="inlineStr">
        <is>
          <t>V01</t>
        </is>
      </c>
      <c r="B5" s="11" t="inlineStr">
        <is>
          <t>Voie du Puy / Chemin du Puy</t>
        </is>
      </c>
      <c r="C5" s="11" t="inlineStr">
        <is>
          <t>GR65</t>
        </is>
      </c>
      <c r="D5" s="11" t="n">
        <v>55</v>
      </c>
      <c r="E5" s="11" t="n">
        <v>1961</v>
      </c>
      <c r="F5" s="11" t="inlineStr">
        <is>
          <t>OUI</t>
        </is>
      </c>
      <c r="G5" s="11" t="inlineStr">
        <is>
          <t>NON</t>
        </is>
      </c>
      <c r="H5" s="11" t="n">
        <v>755</v>
      </c>
      <c r="I5" s="11" t="inlineStr">
        <is>
          <t>PRINCIPALE — voie de référence du projet</t>
        </is>
      </c>
      <c r="J5" s="11" t="inlineStr">
        <is>
          <t>Concentration très forte sur cette voie. Produit d'appel majeur (image+notoriété). Primo-cheminants plus nombreux.</t>
        </is>
      </c>
    </row>
    <row r="6" ht="18" customHeight="1">
      <c r="A6" s="8" t="inlineStr">
        <is>
          <t>V02</t>
        </is>
      </c>
      <c r="B6" s="8" t="inlineStr">
        <is>
          <t>Voie d'Arles</t>
        </is>
      </c>
      <c r="C6" s="8" t="inlineStr">
        <is>
          <t>GR653</t>
        </is>
      </c>
      <c r="D6" s="8" t="n">
        <v>13</v>
      </c>
      <c r="E6" s="8" t="n">
        <v>463</v>
      </c>
      <c r="F6" s="8" t="inlineStr">
        <is>
          <t>NON</t>
        </is>
      </c>
      <c r="G6" s="8" t="inlineStr">
        <is>
          <t>OUI</t>
        </is>
      </c>
      <c r="H6" s="8" t="n">
        <v>826</v>
      </c>
      <c r="I6" s="8" t="inlineStr">
        <is>
          <t>SECONDAIRE — critique pour biais SJPP</t>
        </is>
      </c>
      <c r="J6" s="8" t="inlineStr">
        <is>
          <t>Passe par Somport (Espagne), rejoint Camino Aragonés. Ne passe PAS par SJPP → source du biais SJPP comme proxy flux total.</t>
        </is>
      </c>
    </row>
    <row r="7" ht="18" customHeight="1">
      <c r="A7" s="8" t="inlineStr">
        <is>
          <t>V03</t>
        </is>
      </c>
      <c r="B7" s="8" t="inlineStr">
        <is>
          <t>Voie de Vézelay</t>
        </is>
      </c>
      <c r="C7" s="8" t="inlineStr">
        <is>
          <t>GR654</t>
        </is>
      </c>
      <c r="D7" s="8" t="n">
        <v>12</v>
      </c>
      <c r="E7" s="8" t="n">
        <v>428</v>
      </c>
      <c r="F7" s="8" t="inlineStr">
        <is>
          <t>OUI</t>
        </is>
      </c>
      <c r="G7" s="8" t="inlineStr">
        <is>
          <t>NON</t>
        </is>
      </c>
      <c r="H7" s="8" t="n">
        <v>900</v>
      </c>
      <c r="I7" s="8" t="inlineStr">
        <is>
          <t>SECONDAIRE</t>
        </is>
      </c>
      <c r="J7" s="8" t="inlineStr">
        <is>
          <t>Plus forte proportion de difficultés hébergement (58%). Voie longue mais bien notée satisfaction.</t>
        </is>
      </c>
    </row>
    <row r="8" ht="18" customHeight="1">
      <c r="A8" s="8" t="inlineStr">
        <is>
          <t>V04</t>
        </is>
      </c>
      <c r="B8" s="8" t="inlineStr">
        <is>
          <t>Voie de Tours</t>
        </is>
      </c>
      <c r="C8" s="8" t="inlineStr">
        <is>
          <t>GR655</t>
        </is>
      </c>
      <c r="D8" s="8" t="n">
        <v>10</v>
      </c>
      <c r="E8" s="8" t="n">
        <v>357</v>
      </c>
      <c r="F8" s="8" t="inlineStr">
        <is>
          <t>OUI</t>
        </is>
      </c>
      <c r="G8" s="8" t="inlineStr">
        <is>
          <t>NON</t>
        </is>
      </c>
      <c r="H8" s="8" t="n">
        <v>755</v>
      </c>
      <c r="I8" s="8" t="inlineStr">
        <is>
          <t>SECONDAIRE</t>
        </is>
      </c>
      <c r="J8" s="8" t="inlineStr">
        <is>
          <t>Voie historique la plus empruntée au Moyen-Âge, aujourd'hui peu fréquentée (5e position). Très faible couverture données.</t>
        </is>
      </c>
    </row>
    <row r="9" ht="18" customHeight="1">
      <c r="A9" s="8" t="inlineStr">
        <is>
          <t>V05</t>
        </is>
      </c>
      <c r="B9" s="8" t="inlineStr">
        <is>
          <t>Chemin du Piémont Pyrénéen</t>
        </is>
      </c>
      <c r="C9" s="8" t="inlineStr">
        <is>
          <t>GR78</t>
        </is>
      </c>
      <c r="D9" s="8" t="n">
        <v>6</v>
      </c>
      <c r="E9" s="8" t="n">
        <v>214</v>
      </c>
      <c r="F9" s="8" t="inlineStr">
        <is>
          <t>OUI</t>
        </is>
      </c>
      <c r="G9" s="8" t="inlineStr">
        <is>
          <t>NON</t>
        </is>
      </c>
      <c r="H9" s="8" t="n">
        <v>750</v>
      </c>
      <c r="I9" s="8" t="inlineStr">
        <is>
          <t>SECONDAIRE</t>
        </is>
      </c>
      <c r="J9" s="8" t="inlineStr">
        <is>
          <t>Liaison entre Voie d'Arles et SJPP via le sud des Pyrénées. Fréquentation en hausse signalée qualitativement.</t>
        </is>
      </c>
    </row>
    <row r="10" ht="18" customHeight="1">
      <c r="A10" s="8" t="inlineStr">
        <is>
          <t>V06</t>
        </is>
      </c>
      <c r="B10" s="8" t="inlineStr">
        <is>
          <t>GR651 / Voie du Célé</t>
        </is>
      </c>
      <c r="C10" s="8" t="inlineStr">
        <is>
          <t>GR651</t>
        </is>
      </c>
      <c r="D10" s="8" t="n">
        <v>5</v>
      </c>
      <c r="E10" s="8" t="n">
        <v>178</v>
      </c>
      <c r="F10" s="8" t="inlineStr">
        <is>
          <t>IND</t>
        </is>
      </c>
      <c r="G10" s="8" t="inlineStr">
        <is>
          <t>NON</t>
        </is>
      </c>
      <c r="H10" s="8" t="n"/>
      <c r="I10" s="8" t="inlineStr">
        <is>
          <t>VARIANTE GR65</t>
        </is>
      </c>
      <c r="J10" s="8" t="inlineStr">
        <is>
          <t>Variante de la Via Podiensis contournant la plaine de Limogne. Compteur 2024 défaillant dans Bilan Lot Tourisme.</t>
        </is>
      </c>
    </row>
    <row r="11" ht="18" customHeight="1">
      <c r="A11" s="9" t="inlineStr">
        <is>
          <t>V07</t>
        </is>
      </c>
      <c r="B11" s="9" t="inlineStr">
        <is>
          <t>Chemin par Rocamadour</t>
        </is>
      </c>
      <c r="C11" s="9" t="inlineStr">
        <is>
          <t>GR6/46</t>
        </is>
      </c>
      <c r="D11" s="9" t="n">
        <v>3</v>
      </c>
      <c r="E11" s="9" t="n">
        <v>107</v>
      </c>
      <c r="F11" s="9" t="inlineStr">
        <is>
          <t>IND</t>
        </is>
      </c>
      <c r="G11" s="9" t="inlineStr">
        <is>
          <t>NON</t>
        </is>
      </c>
      <c r="H11" s="9" t="n"/>
      <c r="I11" s="9" t="inlineStr">
        <is>
          <t>VARIANTE RÉGIONALE</t>
        </is>
      </c>
      <c r="J11" s="9" t="inlineStr">
        <is>
          <t>Variante en hausse (boucles itinérantes). Attire randonneurs locaux + pèlerins Compostelle.</t>
        </is>
      </c>
    </row>
    <row r="12" ht="18" customHeight="1">
      <c r="A12" s="9" t="n"/>
      <c r="B12" s="9" t="inlineStr">
        <is>
          <t>Chemin du littoral</t>
        </is>
      </c>
      <c r="C12" s="9" t="n"/>
      <c r="D12" s="9" t="n">
        <v>3</v>
      </c>
      <c r="E12" s="9" t="n">
        <v>107</v>
      </c>
      <c r="F12" s="9" t="inlineStr">
        <is>
          <t>OUI</t>
        </is>
      </c>
      <c r="G12" s="9" t="inlineStr">
        <is>
          <t>NON</t>
        </is>
      </c>
      <c r="H12" s="9" t="n"/>
      <c r="I12" s="9" t="inlineStr">
        <is>
          <t>SECONDAIRE MARGINAL</t>
        </is>
      </c>
      <c r="J12" s="9" t="inlineStr"/>
    </row>
    <row r="13" ht="18" customHeight="1">
      <c r="A13" s="9" t="n"/>
      <c r="B13" s="9" t="inlineStr">
        <is>
          <t>Chemin de Genève</t>
        </is>
      </c>
      <c r="C13" s="9" t="inlineStr">
        <is>
          <t>GR65</t>
        </is>
      </c>
      <c r="D13" s="9" t="n">
        <v>3</v>
      </c>
      <c r="E13" s="9" t="n">
        <v>107</v>
      </c>
      <c r="F13" s="9" t="inlineStr">
        <is>
          <t>OUI</t>
        </is>
      </c>
      <c r="G13" s="9" t="inlineStr">
        <is>
          <t>NON</t>
        </is>
      </c>
      <c r="H13" s="9" t="n"/>
      <c r="I13" s="9" t="inlineStr">
        <is>
          <t>SECONDAIRE MARGINAL</t>
        </is>
      </c>
      <c r="J13" s="9" t="inlineStr">
        <is>
          <t>Variante du GR65 venant de Genève.</t>
        </is>
      </c>
    </row>
    <row r="14" ht="18" customHeight="1">
      <c r="A14" s="9" t="n"/>
      <c r="B14" s="9" t="inlineStr">
        <is>
          <t>Chemin de Cluny</t>
        </is>
      </c>
      <c r="C14" s="9" t="inlineStr">
        <is>
          <t>GR765</t>
        </is>
      </c>
      <c r="D14" s="9" t="n">
        <v>2</v>
      </c>
      <c r="E14" s="9" t="n">
        <v>71</v>
      </c>
      <c r="F14" s="9" t="inlineStr">
        <is>
          <t>OUI</t>
        </is>
      </c>
      <c r="G14" s="9" t="inlineStr">
        <is>
          <t>NON</t>
        </is>
      </c>
      <c r="H14" s="9" t="n"/>
      <c r="I14" s="9" t="inlineStr">
        <is>
          <t>MARGINAL</t>
        </is>
      </c>
      <c r="J14" s="9" t="inlineStr"/>
    </row>
    <row r="15" ht="18" customHeight="1">
      <c r="A15" s="9" t="n"/>
      <c r="B15" s="9" t="inlineStr">
        <is>
          <t>Chemin Lyon-Le Puy</t>
        </is>
      </c>
      <c r="C15" s="9" t="inlineStr">
        <is>
          <t>GR765</t>
        </is>
      </c>
      <c r="D15" s="9" t="n">
        <v>1</v>
      </c>
      <c r="E15" s="9" t="n">
        <v>36</v>
      </c>
      <c r="F15" s="9" t="inlineStr">
        <is>
          <t>OUI</t>
        </is>
      </c>
      <c r="G15" s="9" t="inlineStr">
        <is>
          <t>NON</t>
        </is>
      </c>
      <c r="H15" s="9" t="n"/>
      <c r="I15" s="9" t="inlineStr">
        <is>
          <t>MARGINAL</t>
        </is>
      </c>
      <c r="J15" s="9" t="inlineStr"/>
    </row>
    <row r="16" ht="18" customHeight="1">
      <c r="A16" s="9" t="n"/>
      <c r="B16" s="9" t="inlineStr">
        <is>
          <t>Chemin des Allemands</t>
        </is>
      </c>
      <c r="C16" s="9" t="n"/>
      <c r="D16" s="9" t="n">
        <v>1</v>
      </c>
      <c r="E16" s="9" t="n">
        <v>36</v>
      </c>
      <c r="F16" s="9" t="inlineStr">
        <is>
          <t>OUI</t>
        </is>
      </c>
      <c r="G16" s="9" t="inlineStr">
        <is>
          <t>NON</t>
        </is>
      </c>
      <c r="H16" s="9" t="n"/>
      <c r="I16" s="9" t="inlineStr">
        <is>
          <t>MARGINAL</t>
        </is>
      </c>
      <c r="J16" s="9" t="inlineStr"/>
    </row>
    <row r="17" ht="18" customHeight="1">
      <c r="A17" s="9" t="n"/>
      <c r="B17" s="9" t="inlineStr">
        <is>
          <t>Chemin Conques-Toulouse</t>
        </is>
      </c>
      <c r="C17" s="9" t="n"/>
      <c r="D17" s="9" t="n">
        <v>1</v>
      </c>
      <c r="E17" s="9" t="n">
        <v>36</v>
      </c>
      <c r="F17" s="9" t="inlineStr">
        <is>
          <t>IND</t>
        </is>
      </c>
      <c r="G17" s="9" t="inlineStr">
        <is>
          <t>NON</t>
        </is>
      </c>
      <c r="H17" s="9" t="n"/>
      <c r="I17" s="9" t="inlineStr">
        <is>
          <t>MARGINAL</t>
        </is>
      </c>
      <c r="J17" s="9" t="inlineStr"/>
    </row>
    <row r="18" ht="18" customHeight="1">
      <c r="A18" s="9" t="n"/>
      <c r="B18" s="9" t="inlineStr">
        <is>
          <t>Via Garona</t>
        </is>
      </c>
      <c r="C18" s="9" t="inlineStr">
        <is>
          <t>GR861</t>
        </is>
      </c>
      <c r="D18" s="9" t="n">
        <v>1</v>
      </c>
      <c r="E18" s="9" t="n">
        <v>36</v>
      </c>
      <c r="F18" s="9" t="inlineStr">
        <is>
          <t>IND</t>
        </is>
      </c>
      <c r="G18" s="9" t="inlineStr">
        <is>
          <t>NON</t>
        </is>
      </c>
      <c r="H18" s="9" t="n"/>
      <c r="I18" s="9" t="inlineStr">
        <is>
          <t>MARGINAL</t>
        </is>
      </c>
      <c r="J18" s="9" t="inlineStr"/>
    </row>
    <row r="19">
      <c r="A19" s="14" t="inlineStr">
        <is>
          <t>TOTAL</t>
        </is>
      </c>
      <c r="D19" s="14">
        <f>SUM(D5:D18)</f>
        <v/>
      </c>
      <c r="E19" s="14">
        <f>SUM(E5:E18)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6" customWidth="1" min="5" max="5"/>
    <col width="55" customWidth="1" min="6" max="6"/>
  </cols>
  <sheetData>
    <row r="1">
      <c r="A1" s="10" t="inlineStr">
        <is>
          <t>% de répondants traversant chaque département lors de leur cheminement</t>
        </is>
      </c>
    </row>
    <row r="2">
      <c r="A2" s="5" t="inlineStr">
        <is>
          <t>Source : p.9 AFCC Synthèse 2021 — carte choroplèthe 'Départements traversés lors du cheminement en France'</t>
        </is>
      </c>
    </row>
    <row r="3">
      <c r="A3" s="15" t="inlineStr">
        <is>
          <t>FIABILITÉ FAIBLE-MOYENNE : données issues de la recomposition algorithmique des itinéraires (cf. biais B05)</t>
        </is>
      </c>
    </row>
    <row r="5" ht="28" customHeight="1">
      <c r="A5" s="6" t="inlineStr">
        <is>
          <t>dept_num</t>
        </is>
      </c>
      <c r="B5" s="6" t="inlineStr">
        <is>
          <t>dept_nom</t>
        </is>
      </c>
      <c r="C5" s="6" t="inlineStr">
        <is>
          <t>pct_repondants</t>
        </is>
      </c>
      <c r="D5" s="6" t="inlineStr">
        <is>
          <t>voie_principale</t>
        </is>
      </c>
      <c r="E5" s="6" t="inlineStr">
        <is>
          <t>fiabilite_lecture</t>
        </is>
      </c>
      <c r="F5" s="6" t="inlineStr">
        <is>
          <t>notes_modele</t>
        </is>
      </c>
    </row>
    <row r="6" ht="20" customHeight="1">
      <c r="A6" s="16" t="n">
        <v>43</v>
      </c>
      <c r="B6" s="16" t="inlineStr">
        <is>
          <t>Haute-Loire</t>
        </is>
      </c>
      <c r="C6" s="16" t="n">
        <v>44</v>
      </c>
      <c r="D6" s="16" t="inlineStr">
        <is>
          <t>V01 (GR65)</t>
        </is>
      </c>
      <c r="E6" s="16" t="inlineStr">
        <is>
          <t>MOYENNE</t>
        </is>
      </c>
      <c r="F6" s="16" t="inlineStr">
        <is>
          <t>Département de départ voie du Puy — très fort</t>
        </is>
      </c>
    </row>
    <row r="7" ht="20" customHeight="1">
      <c r="A7" s="16" t="n">
        <v>48</v>
      </c>
      <c r="B7" s="16" t="inlineStr">
        <is>
          <t>Lozère</t>
        </is>
      </c>
      <c r="C7" s="16" t="n">
        <v>44</v>
      </c>
      <c r="D7" s="16" t="inlineStr">
        <is>
          <t>V01 (GR65)</t>
        </is>
      </c>
      <c r="E7" s="16" t="inlineStr">
        <is>
          <t>MOYENNE</t>
        </is>
      </c>
      <c r="F7" s="16" t="inlineStr">
        <is>
          <t>Passage obligé GR65 (La Margeride, Saint-Alban)</t>
        </is>
      </c>
    </row>
    <row r="8" ht="20" customHeight="1">
      <c r="A8" s="16" t="n">
        <v>12</v>
      </c>
      <c r="B8" s="16" t="inlineStr">
        <is>
          <t>Aveyron</t>
        </is>
      </c>
      <c r="C8" s="16" t="n">
        <v>43</v>
      </c>
      <c r="D8" s="16" t="inlineStr">
        <is>
          <t>V01 (GR65)</t>
        </is>
      </c>
      <c r="E8" s="16" t="inlineStr">
        <is>
          <t>MOYENNE</t>
        </is>
      </c>
      <c r="F8" s="16" t="inlineStr">
        <is>
          <t>Conques, Figeac — compteur de référence du réseau</t>
        </is>
      </c>
    </row>
    <row r="9" ht="20" customHeight="1">
      <c r="A9" s="17" t="n">
        <v>46</v>
      </c>
      <c r="B9" s="17" t="inlineStr">
        <is>
          <t>Lot</t>
        </is>
      </c>
      <c r="C9" s="17" t="n">
        <v>36</v>
      </c>
      <c r="D9" s="17" t="inlineStr">
        <is>
          <t>V01 (GR65)</t>
        </is>
      </c>
      <c r="E9" s="17" t="inlineStr">
        <is>
          <t>MOYENNE</t>
        </is>
      </c>
      <c r="F9" s="17" t="inlineStr">
        <is>
          <t>DÉPARTEMENT CIBLE DU PROJET — Felzins→Cahors→Labastide-M</t>
        </is>
      </c>
    </row>
    <row r="10" ht="20" customHeight="1">
      <c r="A10" s="16" t="n">
        <v>47</v>
      </c>
      <c r="B10" s="16" t="inlineStr">
        <is>
          <t>Lot-et-Garonne</t>
        </is>
      </c>
      <c r="C10" s="16" t="n">
        <v>36</v>
      </c>
      <c r="D10" s="16" t="inlineStr">
        <is>
          <t>V01 (GR65)</t>
        </is>
      </c>
      <c r="E10" s="16" t="inlineStr">
        <is>
          <t>FAIBLE</t>
        </is>
      </c>
      <c r="F10" s="16" t="inlineStr">
        <is>
          <t>Sortie vers Agen/Moissac — transition vers T&amp;G</t>
        </is>
      </c>
    </row>
    <row r="11" ht="20" customHeight="1">
      <c r="A11" s="16" t="n">
        <v>64</v>
      </c>
      <c r="B11" s="16" t="inlineStr">
        <is>
          <t>Pyrénées-Atlantiques</t>
        </is>
      </c>
      <c r="C11" s="16" t="n">
        <v>41</v>
      </c>
      <c r="D11" s="16" t="inlineStr">
        <is>
          <t>V01+V02+V05</t>
        </is>
      </c>
      <c r="E11" s="16" t="inlineStr">
        <is>
          <t>MOYENNE</t>
        </is>
      </c>
      <c r="F11" s="16" t="inlineStr">
        <is>
          <t>Convergence toutes voies → SJPP. Fort logiquement.</t>
        </is>
      </c>
    </row>
    <row r="12" ht="20" customHeight="1">
      <c r="A12" s="16" t="n">
        <v>40</v>
      </c>
      <c r="B12" s="16" t="inlineStr">
        <is>
          <t>Landes</t>
        </is>
      </c>
      <c r="C12" s="16" t="n">
        <v>38</v>
      </c>
      <c r="D12" s="16" t="inlineStr">
        <is>
          <t>V01+V05</t>
        </is>
      </c>
      <c r="E12" s="16" t="inlineStr">
        <is>
          <t>MOYENNE</t>
        </is>
      </c>
      <c r="F12" s="16" t="inlineStr">
        <is>
          <t>Passage voie du Puy via Aire-sur-l'Adour</t>
        </is>
      </c>
    </row>
    <row r="13" ht="20" customHeight="1">
      <c r="A13" s="16" t="n">
        <v>32</v>
      </c>
      <c r="B13" s="16" t="inlineStr">
        <is>
          <t>Gers</t>
        </is>
      </c>
      <c r="C13" s="16" t="n">
        <v>34</v>
      </c>
      <c r="D13" s="16" t="inlineStr">
        <is>
          <t>V01+V02+V05</t>
        </is>
      </c>
      <c r="E13" s="16" t="inlineStr">
        <is>
          <t>MOYENNE</t>
        </is>
      </c>
      <c r="F13" s="16" t="inlineStr">
        <is>
          <t>Auch — confluence voies</t>
        </is>
      </c>
    </row>
    <row r="14" ht="20" customHeight="1">
      <c r="A14" s="18" t="n">
        <v>82</v>
      </c>
      <c r="B14" s="18" t="inlineStr">
        <is>
          <t>Tarn-et-Garonne</t>
        </is>
      </c>
      <c r="C14" s="18" t="n">
        <v>28</v>
      </c>
      <c r="D14" s="18" t="inlineStr">
        <is>
          <t>V01 (GR65)</t>
        </is>
      </c>
      <c r="E14" s="18" t="inlineStr">
        <is>
          <t>MOYENNE</t>
        </is>
      </c>
      <c r="F14" s="18" t="inlineStr">
        <is>
          <t>Moissac, Lauzerte — sortie du Lot vers SJPP</t>
        </is>
      </c>
    </row>
    <row r="15" ht="20" customHeight="1">
      <c r="A15" s="18" t="n">
        <v>65</v>
      </c>
      <c r="B15" s="18" t="inlineStr">
        <is>
          <t>Hautes-Pyrénées</t>
        </is>
      </c>
      <c r="C15" s="18" t="n">
        <v>11</v>
      </c>
      <c r="D15" s="18" t="inlineStr">
        <is>
          <t>V02+V05</t>
        </is>
      </c>
      <c r="E15" s="18" t="inlineStr">
        <is>
          <t>FAIBLE</t>
        </is>
      </c>
      <c r="F15" s="18" t="inlineStr">
        <is>
          <t>Passage voie d'Arles / Piémont (Lourdes, Saint-Bertrand)</t>
        </is>
      </c>
    </row>
    <row r="16" ht="20" customHeight="1">
      <c r="A16" s="18" t="n">
        <v>11</v>
      </c>
      <c r="B16" s="18" t="inlineStr">
        <is>
          <t>Aude</t>
        </is>
      </c>
      <c r="C16" s="18" t="n">
        <v>10</v>
      </c>
      <c r="D16" s="18" t="inlineStr">
        <is>
          <t>V02 (GR653)</t>
        </is>
      </c>
      <c r="E16" s="18" t="inlineStr">
        <is>
          <t>FAIBLE</t>
        </is>
      </c>
      <c r="F16" s="18" t="inlineStr">
        <is>
          <t>Voie d'Arles (Carcassonne, Narbonne)</t>
        </is>
      </c>
    </row>
    <row r="17" ht="20" customHeight="1">
      <c r="A17" s="18" t="n">
        <v>13</v>
      </c>
      <c r="B17" s="18" t="inlineStr">
        <is>
          <t>Bouches-du-Rhône</t>
        </is>
      </c>
      <c r="C17" s="18" t="n">
        <v>7</v>
      </c>
      <c r="D17" s="18" t="inlineStr">
        <is>
          <t>V02 (GR653)</t>
        </is>
      </c>
      <c r="E17" s="18" t="inlineStr">
        <is>
          <t>FAIBLE</t>
        </is>
      </c>
      <c r="F17" s="18" t="inlineStr">
        <is>
          <t>Voie d'Arles (point de départ)</t>
        </is>
      </c>
    </row>
    <row r="18" ht="20" customHeight="1">
      <c r="A18" s="18" t="n">
        <v>34</v>
      </c>
      <c r="B18" s="18" t="inlineStr">
        <is>
          <t>Hérault</t>
        </is>
      </c>
      <c r="C18" s="18" t="n">
        <v>13</v>
      </c>
      <c r="D18" s="18" t="inlineStr">
        <is>
          <t>V02+V05</t>
        </is>
      </c>
      <c r="E18" s="18" t="inlineStr">
        <is>
          <t>FAIBLE</t>
        </is>
      </c>
      <c r="F18" s="18" t="inlineStr">
        <is>
          <t>Montpellier — croisement voies</t>
        </is>
      </c>
    </row>
    <row r="19" ht="20" customHeight="1">
      <c r="A19" s="18" t="n">
        <v>30</v>
      </c>
      <c r="B19" s="18" t="inlineStr">
        <is>
          <t>Gard</t>
        </is>
      </c>
      <c r="C19" s="18" t="n">
        <v>7</v>
      </c>
      <c r="D19" s="18" t="inlineStr">
        <is>
          <t>V02 (GR653)</t>
        </is>
      </c>
      <c r="E19" s="18" t="inlineStr">
        <is>
          <t>FAIBLE</t>
        </is>
      </c>
      <c r="F19" s="18" t="inlineStr"/>
    </row>
    <row r="20" ht="20" customHeight="1">
      <c r="A20" s="18" t="n">
        <v>33</v>
      </c>
      <c r="B20" s="18" t="inlineStr">
        <is>
          <t>Gironde</t>
        </is>
      </c>
      <c r="C20" s="18" t="n">
        <v>15</v>
      </c>
      <c r="D20" s="18" t="inlineStr">
        <is>
          <t>V01+V03</t>
        </is>
      </c>
      <c r="E20" s="18" t="inlineStr">
        <is>
          <t>FAIBLE</t>
        </is>
      </c>
      <c r="F20" s="18" t="inlineStr">
        <is>
          <t>Bordeaux — branche sud Vézelay + voie du Puy</t>
        </is>
      </c>
    </row>
    <row r="21" ht="20" customHeight="1">
      <c r="A21" s="18" t="n">
        <v>24</v>
      </c>
      <c r="B21" s="18" t="inlineStr">
        <is>
          <t>Dordogne</t>
        </is>
      </c>
      <c r="C21" s="18" t="n">
        <v>7</v>
      </c>
      <c r="D21" s="18" t="inlineStr">
        <is>
          <t>V03 (GR654)</t>
        </is>
      </c>
      <c r="E21" s="18" t="inlineStr">
        <is>
          <t>FAIBLE</t>
        </is>
      </c>
      <c r="F21" s="18" t="inlineStr">
        <is>
          <t>Périgueux — voie de Vézelay branche sud</t>
        </is>
      </c>
    </row>
    <row r="22" ht="20" customHeight="1">
      <c r="A22" s="18" t="n">
        <v>87</v>
      </c>
      <c r="B22" s="18" t="inlineStr">
        <is>
          <t>Haute-Vienne</t>
        </is>
      </c>
      <c r="C22" s="18" t="n">
        <v>7</v>
      </c>
      <c r="D22" s="18" t="inlineStr">
        <is>
          <t>V03 (GR654)</t>
        </is>
      </c>
      <c r="E22" s="18" t="inlineStr">
        <is>
          <t>FAIBLE</t>
        </is>
      </c>
      <c r="F22" s="18" t="inlineStr">
        <is>
          <t>Limoges — voie de Vézelay</t>
        </is>
      </c>
    </row>
    <row r="23" ht="20" customHeight="1">
      <c r="A23" s="18" t="n">
        <v>23</v>
      </c>
      <c r="B23" s="18" t="inlineStr">
        <is>
          <t>Creuse</t>
        </is>
      </c>
      <c r="C23" s="18" t="n">
        <v>7</v>
      </c>
      <c r="D23" s="18" t="inlineStr">
        <is>
          <t>V03 (GR654)</t>
        </is>
      </c>
      <c r="E23" s="18" t="inlineStr">
        <is>
          <t>FAIBLE</t>
        </is>
      </c>
      <c r="F23" s="18" t="inlineStr"/>
    </row>
    <row r="24" ht="20" customHeight="1">
      <c r="A24" s="18" t="n">
        <v>79</v>
      </c>
      <c r="B24" s="18" t="inlineStr">
        <is>
          <t>Deux-Sèvres</t>
        </is>
      </c>
      <c r="C24" s="18" t="n">
        <v>7</v>
      </c>
      <c r="D24" s="18" t="inlineStr">
        <is>
          <t>V03+V04</t>
        </is>
      </c>
      <c r="E24" s="18" t="inlineStr">
        <is>
          <t>FAIBLE</t>
        </is>
      </c>
      <c r="F24" s="18" t="inlineStr"/>
    </row>
    <row r="25" ht="20" customHeight="1">
      <c r="A25" s="18" t="n">
        <v>86</v>
      </c>
      <c r="B25" s="18" t="inlineStr">
        <is>
          <t>Vienne</t>
        </is>
      </c>
      <c r="C25" s="18" t="n">
        <v>7</v>
      </c>
      <c r="D25" s="18" t="inlineStr">
        <is>
          <t>V04 (GR655)</t>
        </is>
      </c>
      <c r="E25" s="18" t="inlineStr">
        <is>
          <t>FAIBLE</t>
        </is>
      </c>
      <c r="F25" s="18" t="inlineStr">
        <is>
          <t>Poitiers — voie de Tours</t>
        </is>
      </c>
    </row>
    <row r="26" ht="20" customHeight="1">
      <c r="A26" s="18" t="n">
        <v>36</v>
      </c>
      <c r="B26" s="18" t="inlineStr">
        <is>
          <t>Indre</t>
        </is>
      </c>
      <c r="C26" s="18" t="n">
        <v>7</v>
      </c>
      <c r="D26" s="18" t="inlineStr">
        <is>
          <t>V04 (GR655)</t>
        </is>
      </c>
      <c r="E26" s="18" t="inlineStr">
        <is>
          <t>FAIBLE</t>
        </is>
      </c>
      <c r="F26" s="18" t="inlineStr"/>
    </row>
    <row r="27" ht="20" customHeight="1">
      <c r="A27" s="18" t="n">
        <v>37</v>
      </c>
      <c r="B27" s="18" t="inlineStr">
        <is>
          <t>Indre-et-Loire</t>
        </is>
      </c>
      <c r="C27" s="18" t="n">
        <v>7</v>
      </c>
      <c r="D27" s="18" t="inlineStr">
        <is>
          <t>V04 (GR655)</t>
        </is>
      </c>
      <c r="E27" s="18" t="inlineStr">
        <is>
          <t>FAIBLE</t>
        </is>
      </c>
      <c r="F27" s="18" t="inlineStr">
        <is>
          <t>Tours — point de départ voie de Tours</t>
        </is>
      </c>
    </row>
    <row r="28" ht="20" customHeight="1">
      <c r="A28" s="18" t="n">
        <v>18</v>
      </c>
      <c r="B28" s="18" t="inlineStr">
        <is>
          <t>Cher</t>
        </is>
      </c>
      <c r="C28" s="18" t="n">
        <v>8</v>
      </c>
      <c r="D28" s="18" t="inlineStr">
        <is>
          <t>V03+V04</t>
        </is>
      </c>
      <c r="E28" s="18" t="inlineStr">
        <is>
          <t>FAIBLE</t>
        </is>
      </c>
      <c r="F28" s="18" t="inlineStr">
        <is>
          <t>Bourges — voie de Vézelay branche nord</t>
        </is>
      </c>
    </row>
    <row r="29" ht="20" customHeight="1">
      <c r="A29" s="18" t="n">
        <v>58</v>
      </c>
      <c r="B29" s="18" t="inlineStr">
        <is>
          <t>Nièvre</t>
        </is>
      </c>
      <c r="C29" s="18" t="n">
        <v>8</v>
      </c>
      <c r="D29" s="18" t="inlineStr">
        <is>
          <t>V03+V04</t>
        </is>
      </c>
      <c r="E29" s="18" t="inlineStr">
        <is>
          <t>FAIBLE</t>
        </is>
      </c>
      <c r="F29" s="18" t="inlineStr"/>
    </row>
    <row r="30" ht="20" customHeight="1">
      <c r="A30" s="18" t="n">
        <v>89</v>
      </c>
      <c r="B30" s="18" t="inlineStr">
        <is>
          <t>Yonne</t>
        </is>
      </c>
      <c r="C30" s="18" t="n">
        <v>8</v>
      </c>
      <c r="D30" s="18" t="inlineStr">
        <is>
          <t>V03 (GR654)</t>
        </is>
      </c>
      <c r="E30" s="18" t="inlineStr">
        <is>
          <t>FAIBLE</t>
        </is>
      </c>
      <c r="F30" s="18" t="inlineStr">
        <is>
          <t>Vézelay — point de départ</t>
        </is>
      </c>
    </row>
    <row r="31" ht="20" customHeight="1">
      <c r="A31" s="18" t="n">
        <v>45</v>
      </c>
      <c r="B31" s="18" t="inlineStr">
        <is>
          <t>Loiret</t>
        </is>
      </c>
      <c r="C31" s="18" t="n">
        <v>3</v>
      </c>
      <c r="D31" s="18" t="inlineStr">
        <is>
          <t>V04 (GR655)</t>
        </is>
      </c>
      <c r="E31" s="18" t="inlineStr">
        <is>
          <t>FAIBLE</t>
        </is>
      </c>
      <c r="F31" s="18" t="inlineStr"/>
    </row>
    <row r="32" ht="20" customHeight="1">
      <c r="A32" s="18" t="n">
        <v>28</v>
      </c>
      <c r="B32" s="18" t="inlineStr">
        <is>
          <t>Eure-et-Loir</t>
        </is>
      </c>
      <c r="C32" s="18" t="n">
        <v>2</v>
      </c>
      <c r="D32" s="18" t="inlineStr">
        <is>
          <t>V04 (GR655)</t>
        </is>
      </c>
      <c r="E32" s="18" t="inlineStr">
        <is>
          <t>FAIBLE</t>
        </is>
      </c>
      <c r="F32" s="18" t="inlineStr"/>
    </row>
    <row r="33" ht="20" customHeight="1">
      <c r="A33" s="18" t="n">
        <v>41</v>
      </c>
      <c r="B33" s="18" t="inlineStr">
        <is>
          <t>Loir-et-Cher</t>
        </is>
      </c>
      <c r="C33" s="18" t="n">
        <v>3</v>
      </c>
      <c r="D33" s="18" t="inlineStr">
        <is>
          <t>V04 (GR655)</t>
        </is>
      </c>
      <c r="E33" s="18" t="inlineStr">
        <is>
          <t>FAIBLE</t>
        </is>
      </c>
      <c r="F33" s="18" t="inlineStr"/>
    </row>
    <row r="34" ht="20" customHeight="1">
      <c r="A34" s="18" t="n">
        <v>91</v>
      </c>
      <c r="B34" s="18" t="inlineStr">
        <is>
          <t>Essonne</t>
        </is>
      </c>
      <c r="C34" s="18" t="n">
        <v>5</v>
      </c>
      <c r="D34" s="18" t="inlineStr">
        <is>
          <t>V04 (GR655)</t>
        </is>
      </c>
      <c r="E34" s="18" t="inlineStr">
        <is>
          <t>FAIBLE</t>
        </is>
      </c>
      <c r="F34" s="18" t="inlineStr">
        <is>
          <t>Paris/Île-de-France — zones de départ</t>
        </is>
      </c>
    </row>
    <row r="35" ht="20" customHeight="1">
      <c r="A35" s="18" t="n">
        <v>75</v>
      </c>
      <c r="B35" s="18" t="inlineStr">
        <is>
          <t>Paris</t>
        </is>
      </c>
      <c r="C35" s="18" t="n">
        <v>5</v>
      </c>
      <c r="D35" s="18" t="inlineStr">
        <is>
          <t>V04 (GR655)</t>
        </is>
      </c>
      <c r="E35" s="18" t="inlineStr">
        <is>
          <t>FAIBLE</t>
        </is>
      </c>
      <c r="F35" s="18" t="inlineStr">
        <is>
          <t>Paris — départ historique voie de Tours</t>
        </is>
      </c>
    </row>
    <row r="36">
      <c r="A36" s="5" t="inlineStr">
        <is>
          <t>Note : valeurs lues sur carte choroplèthe — fiabilité FAIBLE à MOYENNE selon densité des depts. Le Lot (36%) est cohérent avec le 39% du Focus Lot Tourisme 2021 (même enquête, même période).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2" customWidth="1" min="4" max="4"/>
    <col width="22" customWidth="1" min="5" max="5"/>
    <col width="70" customWidth="1" min="6" max="6"/>
  </cols>
  <sheetData>
    <row r="1">
      <c r="A1" s="10" t="inlineStr">
        <is>
          <t>Saisonnalité des cheminements — AFCC Synthèse 2021</t>
        </is>
      </c>
    </row>
    <row r="2">
      <c r="A2" s="15" t="inlineStr">
        <is>
          <t>ATTENTION : Distribution biaisée (sous-représentation printemps, année jacquaire 2021). Cf. biais B01 et B02.</t>
        </is>
      </c>
    </row>
    <row r="4" ht="28" customHeight="1">
      <c r="A4" s="6" t="inlineStr">
        <is>
          <t>mois_num</t>
        </is>
      </c>
      <c r="B4" s="6" t="inlineStr">
        <is>
          <t>mois</t>
        </is>
      </c>
      <c r="C4" s="6" t="inlineStr">
        <is>
          <t>pct_repondants_actifs</t>
        </is>
      </c>
      <c r="D4" s="6" t="inlineStr">
        <is>
          <t>fiabilite</t>
        </is>
      </c>
      <c r="E4" s="6" t="inlineStr">
        <is>
          <t>signal_modele</t>
        </is>
      </c>
      <c r="F4" s="6" t="inlineStr">
        <is>
          <t>notes</t>
        </is>
      </c>
    </row>
    <row r="5" ht="30" customHeight="1">
      <c r="A5" s="18" t="n">
        <v>4</v>
      </c>
      <c r="B5" s="18" t="inlineStr">
        <is>
          <t>Avril</t>
        </is>
      </c>
      <c r="C5" s="18" t="n">
        <v>3</v>
      </c>
      <c r="D5" s="18" t="inlineStr">
        <is>
          <t>FAIBLE</t>
        </is>
      </c>
      <c r="E5" s="18" t="inlineStr">
        <is>
          <t>SOUS-ESTIMÉ</t>
        </is>
      </c>
      <c r="F5" s="18" t="inlineStr">
        <is>
          <t>Enquête terrain débute en mai → avril sous-représenté. Réalité probablement 8-10% (cf. données SJPP qui montrent avril significatif)</t>
        </is>
      </c>
    </row>
    <row r="6" ht="30" customHeight="1">
      <c r="A6" s="18" t="n">
        <v>5</v>
      </c>
      <c r="B6" s="18" t="inlineStr">
        <is>
          <t>Mai</t>
        </is>
      </c>
      <c r="C6" s="18" t="n">
        <v>12</v>
      </c>
      <c r="D6" s="18" t="inlineStr">
        <is>
          <t>MOYENNE</t>
        </is>
      </c>
      <c r="E6" s="18" t="inlineStr">
        <is>
          <t>PROBABLEMENT SOUS-ESTIMÉ</t>
        </is>
      </c>
      <c r="F6" s="18" t="inlineStr">
        <is>
          <t>Sous-représentation possible printemps. SJPP montre que mai est souvent le pic.</t>
        </is>
      </c>
    </row>
    <row r="7" ht="30" customHeight="1">
      <c r="A7" s="19" t="n">
        <v>6</v>
      </c>
      <c r="B7" s="19" t="inlineStr">
        <is>
          <t>Juin</t>
        </is>
      </c>
      <c r="C7" s="19" t="n">
        <v>15</v>
      </c>
      <c r="D7" s="19" t="inlineStr">
        <is>
          <t>ÉLEVÉE</t>
        </is>
      </c>
      <c r="E7" s="19" t="inlineStr">
        <is>
          <t>FIABLE</t>
        </is>
      </c>
      <c r="F7" s="19" t="inlineStr">
        <is>
          <t>Bon mois. Cohérent avec données éco-compteurs.</t>
        </is>
      </c>
    </row>
    <row r="8" ht="30" customHeight="1">
      <c r="A8" s="19" t="n">
        <v>7</v>
      </c>
      <c r="B8" s="19" t="inlineStr">
        <is>
          <t>Juillet</t>
        </is>
      </c>
      <c r="C8" s="19" t="n">
        <v>18</v>
      </c>
      <c r="D8" s="19" t="inlineStr">
        <is>
          <t>ÉLEVÉE</t>
        </is>
      </c>
      <c r="E8" s="19" t="inlineStr">
        <is>
          <t>FIABLE</t>
        </is>
      </c>
      <c r="F8" s="19" t="inlineStr">
        <is>
          <t>Forte saison estivale.</t>
        </is>
      </c>
    </row>
    <row r="9" ht="30" customHeight="1">
      <c r="A9" s="16" t="n">
        <v>8</v>
      </c>
      <c r="B9" s="16" t="inlineStr">
        <is>
          <t>Août</t>
        </is>
      </c>
      <c r="C9" s="16" t="n">
        <v>23</v>
      </c>
      <c r="D9" s="16" t="inlineStr">
        <is>
          <t>MOYENNE</t>
        </is>
      </c>
      <c r="E9" s="16" t="inlineStr">
        <is>
          <t>PROBABLEMENT SURESTIMÉ</t>
        </is>
      </c>
      <c r="F9" s="16" t="inlineStr">
        <is>
          <t>Pic selon l'enquête. Mais année jacquaire 2021 concentre sur été. Dans les années normales, août ≈ 20% selon SJPP.</t>
        </is>
      </c>
    </row>
    <row r="10" ht="30" customHeight="1">
      <c r="A10" s="16" t="n">
        <v>9</v>
      </c>
      <c r="B10" s="16" t="inlineStr">
        <is>
          <t>Septembre</t>
        </is>
      </c>
      <c r="C10" s="16" t="n">
        <v>23</v>
      </c>
      <c r="D10" s="16" t="inlineStr">
        <is>
          <t>MOYENNE</t>
        </is>
      </c>
      <c r="E10" s="16" t="inlineStr">
        <is>
          <t>PROBABLEMENT SURESTIMÉ</t>
        </is>
      </c>
      <c r="F10" s="16" t="inlineStr">
        <is>
          <t>Idem août — biais année jacquaire. Arrière-saison 2021 particulièrement forte.</t>
        </is>
      </c>
    </row>
    <row r="11" ht="30" customHeight="1">
      <c r="A11" s="19" t="n">
        <v>10</v>
      </c>
      <c r="B11" s="19" t="inlineStr">
        <is>
          <t>Octobre</t>
        </is>
      </c>
      <c r="C11" s="19" t="n">
        <v>6</v>
      </c>
      <c r="D11" s="19" t="inlineStr">
        <is>
          <t>ÉLEVÉE</t>
        </is>
      </c>
      <c r="E11" s="19" t="inlineStr">
        <is>
          <t>FIABLE</t>
        </is>
      </c>
      <c r="F11" s="19" t="inlineStr">
        <is>
          <t>Fin de saison. Cohérent avec la baisse éco-compteurs.</t>
        </is>
      </c>
    </row>
    <row r="12">
      <c r="A12" s="14" t="inlineStr">
        <is>
          <t>TOTAL (réponses multiples possibles)</t>
        </is>
      </c>
      <c r="C12" s="14" t="n">
        <v>100</v>
      </c>
    </row>
    <row r="13">
      <c r="A13" s="20" t="inlineStr">
        <is>
          <t>Recommandation modèle : utiliser la distribution mensuelle SJPP 2018-2024 comme référence de saisonnalité (série longue, non biaisée, année jacquaire identifiable).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22" customWidth="1" min="5" max="5"/>
    <col width="20" customWidth="1" min="6" max="6"/>
    <col width="45" customWidth="1" min="7" max="7"/>
    <col width="55" customWidth="1" min="8" max="8"/>
  </cols>
  <sheetData>
    <row r="1">
      <c r="A1" s="10" t="inlineStr">
        <is>
          <t>Profil socio-démographique et typologies comportementales — AFCC Synthèse 2021</t>
        </is>
      </c>
    </row>
    <row r="3">
      <c r="A3" s="21" t="inlineStr">
        <is>
          <t>PROFIL SOCIO-DÉMOGRAPHIQUE (p.11-12)</t>
        </is>
      </c>
    </row>
    <row r="4" ht="28" customHeight="1">
      <c r="A4" s="22" t="inlineStr">
        <is>
          <t>dimension</t>
        </is>
      </c>
      <c r="B4" s="22" t="inlineStr">
        <is>
          <t>categorie</t>
        </is>
      </c>
      <c r="C4" s="22" t="inlineStr">
        <is>
          <t>valeur_pct</t>
        </is>
      </c>
      <c r="D4" s="22" t="inlineStr">
        <is>
          <t>base_n_estime</t>
        </is>
      </c>
      <c r="E4" s="22" t="inlineStr">
        <is>
          <t>page_pdf</t>
        </is>
      </c>
      <c r="F4" s="22" t="inlineStr">
        <is>
          <t>notes_modele</t>
        </is>
      </c>
    </row>
    <row r="5" ht="22" customHeight="1">
      <c r="A5" s="13" t="inlineStr">
        <is>
          <t>Sexe</t>
        </is>
      </c>
      <c r="B5" s="13" t="inlineStr">
        <is>
          <t>Femme</t>
        </is>
      </c>
      <c r="C5" s="13" t="n">
        <v>54</v>
      </c>
      <c r="D5" s="13" t="n">
        <v>1925</v>
      </c>
      <c r="E5" s="13" t="n">
        <v>11</v>
      </c>
      <c r="F5" s="13" t="inlineStr">
        <is>
          <t>Légère majorité femmes. Plus marquée voie du Puy (60%). S'équilibre sur voies secondaires.</t>
        </is>
      </c>
    </row>
    <row r="6" ht="22" customHeight="1">
      <c r="A6" s="23" t="inlineStr">
        <is>
          <t>Sexe</t>
        </is>
      </c>
      <c r="B6" s="23" t="inlineStr">
        <is>
          <t>Homme</t>
        </is>
      </c>
      <c r="C6" s="23" t="n">
        <v>46</v>
      </c>
      <c r="D6" s="23" t="n">
        <v>1640</v>
      </c>
      <c r="E6" s="23" t="n">
        <v>11</v>
      </c>
      <c r="F6" s="23" t="inlineStr"/>
    </row>
    <row r="7" ht="22" customHeight="1">
      <c r="A7" s="13" t="inlineStr">
        <is>
          <t>Age</t>
        </is>
      </c>
      <c r="B7" s="13" t="inlineStr">
        <is>
          <t>Moins de 35 ans</t>
        </is>
      </c>
      <c r="C7" s="13" t="n">
        <v>11</v>
      </c>
      <c r="D7" s="13" t="n">
        <v>392</v>
      </c>
      <c r="E7" s="13" t="n">
        <v>11</v>
      </c>
      <c r="F7" s="13" t="inlineStr">
        <is>
          <t>Part non négligeable — segment en croissance (opportunité identifiée dans Synthèse)</t>
        </is>
      </c>
    </row>
    <row r="8" ht="22" customHeight="1">
      <c r="A8" s="23" t="inlineStr">
        <is>
          <t>Age</t>
        </is>
      </c>
      <c r="B8" s="23" t="inlineStr">
        <is>
          <t>35 à 42 ans</t>
        </is>
      </c>
      <c r="C8" s="23" t="n">
        <v>6</v>
      </c>
      <c r="D8" s="23" t="n">
        <v>214</v>
      </c>
      <c r="E8" s="23" t="n">
        <v>11</v>
      </c>
      <c r="F8" s="23" t="inlineStr">
        <is>
          <t>'Creux' structurel de la tranche 35-50 ans (logistique vie pro/famille contraignante)</t>
        </is>
      </c>
    </row>
    <row r="9" ht="22" customHeight="1">
      <c r="A9" s="13" t="inlineStr">
        <is>
          <t>Age</t>
        </is>
      </c>
      <c r="B9" s="13" t="inlineStr">
        <is>
          <t>42 à 49 ans</t>
        </is>
      </c>
      <c r="C9" s="13" t="n">
        <v>7</v>
      </c>
      <c r="D9" s="13" t="n">
        <v>249</v>
      </c>
      <c r="E9" s="13" t="n">
        <v>11</v>
      </c>
      <c r="F9" s="13" t="inlineStr"/>
    </row>
    <row r="10" ht="22" customHeight="1">
      <c r="A10" s="23" t="inlineStr">
        <is>
          <t>Age</t>
        </is>
      </c>
      <c r="B10" s="23" t="inlineStr">
        <is>
          <t>49 à 56 ans</t>
        </is>
      </c>
      <c r="C10" s="23" t="n">
        <v>14</v>
      </c>
      <c r="D10" s="23" t="n">
        <v>499</v>
      </c>
      <c r="E10" s="23" t="n">
        <v>11</v>
      </c>
      <c r="F10" s="23" t="inlineStr"/>
    </row>
    <row r="11" ht="22" customHeight="1">
      <c r="A11" s="13" t="inlineStr">
        <is>
          <t>Age</t>
        </is>
      </c>
      <c r="B11" s="13" t="inlineStr">
        <is>
          <t>56 ans et plus</t>
        </is>
      </c>
      <c r="C11" s="13" t="n">
        <v>62</v>
      </c>
      <c r="D11" s="13" t="n">
        <v>2210</v>
      </c>
      <c r="E11" s="13" t="n">
        <v>11</v>
      </c>
      <c r="F11" s="13" t="inlineStr">
        <is>
          <t>Dominante senior. Retraités + actifs CSP+ en fin de carrière.</t>
        </is>
      </c>
    </row>
    <row r="12" ht="22" customHeight="1">
      <c r="A12" s="23" t="inlineStr">
        <is>
          <t>Statut_pro</t>
        </is>
      </c>
      <c r="B12" s="23" t="inlineStr">
        <is>
          <t>En activité</t>
        </is>
      </c>
      <c r="C12" s="23" t="n">
        <v>44</v>
      </c>
      <c r="D12" s="23" t="n">
        <v>1569</v>
      </c>
      <c r="E12" s="23" t="n">
        <v>11</v>
      </c>
      <c r="F12" s="23" t="inlineStr">
        <is>
          <t>44% actifs — dont très forte proportion de cadres sup/libéraux (37%)</t>
        </is>
      </c>
    </row>
    <row r="13" ht="22" customHeight="1">
      <c r="A13" s="13" t="inlineStr">
        <is>
          <t>Statut_pro</t>
        </is>
      </c>
      <c r="B13" s="13" t="inlineStr">
        <is>
          <t>À la retraite</t>
        </is>
      </c>
      <c r="C13" s="13" t="n">
        <v>44</v>
      </c>
      <c r="D13" s="13" t="n">
        <v>1569</v>
      </c>
      <c r="E13" s="13" t="n">
        <v>11</v>
      </c>
      <c r="F13" s="13" t="inlineStr">
        <is>
          <t>Quasi-parité actifs/retraités — atypique vs tourisme classique</t>
        </is>
      </c>
    </row>
    <row r="14" ht="22" customHeight="1">
      <c r="A14" s="23" t="inlineStr">
        <is>
          <t>Statut_pro</t>
        </is>
      </c>
      <c r="B14" s="23" t="inlineStr">
        <is>
          <t>Sans emploi</t>
        </is>
      </c>
      <c r="C14" s="23" t="n">
        <v>8</v>
      </c>
      <c r="D14" s="23" t="n">
        <v>285</v>
      </c>
      <c r="E14" s="23" t="n">
        <v>11</v>
      </c>
      <c r="F14" s="23" t="inlineStr"/>
    </row>
    <row r="15" ht="22" customHeight="1">
      <c r="A15" s="13" t="inlineStr">
        <is>
          <t>Statut_pro</t>
        </is>
      </c>
      <c r="B15" s="13" t="inlineStr">
        <is>
          <t>Étudiant</t>
        </is>
      </c>
      <c r="C15" s="13" t="n">
        <v>3</v>
      </c>
      <c r="D15" s="13" t="n">
        <v>107</v>
      </c>
      <c r="E15" s="13" t="n">
        <v>11</v>
      </c>
      <c r="F15" s="13" t="inlineStr"/>
    </row>
    <row r="16" ht="22" customHeight="1">
      <c r="A16" s="23" t="inlineStr">
        <is>
          <t>CSP_actifs</t>
        </is>
      </c>
      <c r="B16" s="23" t="inlineStr">
        <is>
          <t>Cadre supérieur/libéral</t>
        </is>
      </c>
      <c r="C16" s="23" t="n">
        <v>37</v>
      </c>
      <c r="D16" s="23" t="n">
        <v>1320</v>
      </c>
      <c r="E16" s="23" t="n">
        <v>11</v>
      </c>
      <c r="F16" s="23" t="inlineStr">
        <is>
          <t>Surreprésentation CSP+ très marquée — plus forte sur voie du Puy</t>
        </is>
      </c>
    </row>
    <row r="17" ht="22" customHeight="1">
      <c r="A17" s="13" t="inlineStr">
        <is>
          <t>CSP_actifs</t>
        </is>
      </c>
      <c r="B17" s="13" t="inlineStr">
        <is>
          <t>Employé</t>
        </is>
      </c>
      <c r="C17" s="13" t="n">
        <v>32</v>
      </c>
      <c r="D17" s="13" t="n">
        <v>1141</v>
      </c>
      <c r="E17" s="13" t="n">
        <v>11</v>
      </c>
      <c r="F17" s="13" t="inlineStr"/>
    </row>
    <row r="18" ht="22" customHeight="1">
      <c r="A18" s="23" t="inlineStr">
        <is>
          <t>CSP_actifs</t>
        </is>
      </c>
      <c r="B18" s="23" t="inlineStr">
        <is>
          <t>Profession intermédiaire</t>
        </is>
      </c>
      <c r="C18" s="23" t="n">
        <v>20</v>
      </c>
      <c r="D18" s="23" t="n">
        <v>713</v>
      </c>
      <c r="E18" s="23" t="n">
        <v>11</v>
      </c>
      <c r="F18" s="23" t="inlineStr"/>
    </row>
    <row r="19" ht="22" customHeight="1">
      <c r="A19" s="13" t="inlineStr">
        <is>
          <t>CSP_actifs</t>
        </is>
      </c>
      <c r="B19" s="13" t="inlineStr">
        <is>
          <t>Artisan/commerçant</t>
        </is>
      </c>
      <c r="C19" s="13" t="n">
        <v>9</v>
      </c>
      <c r="D19" s="13" t="n">
        <v>321</v>
      </c>
      <c r="E19" s="13" t="n">
        <v>11</v>
      </c>
      <c r="F19" s="13" t="inlineStr"/>
    </row>
    <row r="20" ht="22" customHeight="1">
      <c r="A20" s="23" t="inlineStr">
        <is>
          <t>CSP_actifs</t>
        </is>
      </c>
      <c r="B20" s="23" t="inlineStr">
        <is>
          <t>Ouvrier</t>
        </is>
      </c>
      <c r="C20" s="23" t="n">
        <v>2</v>
      </c>
      <c r="D20" s="23" t="n">
        <v>71</v>
      </c>
      <c r="E20" s="23" t="n">
        <v>11</v>
      </c>
      <c r="F20" s="23" t="inlineStr"/>
    </row>
    <row r="21" ht="22" customHeight="1">
      <c r="A21" s="13" t="inlineStr">
        <is>
          <t>Pratique_rando</t>
        </is>
      </c>
      <c r="B21" s="13" t="inlineStr">
        <is>
          <t>Très souvent (plusiceurs/mois)</t>
        </is>
      </c>
      <c r="C21" s="13" t="n">
        <v>48</v>
      </c>
      <c r="D21" s="13" t="n">
        <v>1711</v>
      </c>
      <c r="E21" s="13" t="n">
        <v>12</v>
      </c>
      <c r="F21" s="13" t="inlineStr">
        <is>
          <t>Marcheurs aguerris. Le chemin N'EST PAS leur découverte de la randonnée.</t>
        </is>
      </c>
    </row>
    <row r="22" ht="22" customHeight="1">
      <c r="A22" s="23" t="inlineStr">
        <is>
          <t>Pratique_rando</t>
        </is>
      </c>
      <c r="B22" s="23" t="inlineStr">
        <is>
          <t>Souvent (plusieurs fois/an)</t>
        </is>
      </c>
      <c r="C22" s="23" t="n">
        <v>37</v>
      </c>
      <c r="D22" s="23" t="n">
        <v>1319</v>
      </c>
      <c r="E22" s="23" t="n">
        <v>12</v>
      </c>
      <c r="F22" s="23" t="inlineStr"/>
    </row>
    <row r="23" ht="22" customHeight="1">
      <c r="A23" s="13" t="inlineStr">
        <is>
          <t>Pratique_rando</t>
        </is>
      </c>
      <c r="B23" s="13" t="inlineStr">
        <is>
          <t>Rarement</t>
        </is>
      </c>
      <c r="C23" s="13" t="n">
        <v>11</v>
      </c>
      <c r="D23" s="13" t="n">
        <v>392</v>
      </c>
      <c r="E23" s="13" t="n">
        <v>12</v>
      </c>
      <c r="F23" s="13" t="inlineStr"/>
    </row>
    <row r="24" ht="22" customHeight="1">
      <c r="A24" s="23" t="inlineStr">
        <is>
          <t>Pratique_rando</t>
        </is>
      </c>
      <c r="B24" s="23" t="inlineStr">
        <is>
          <t>Très rarement/jamais</t>
        </is>
      </c>
      <c r="C24" s="23" t="n">
        <v>4</v>
      </c>
      <c r="D24" s="23" t="n">
        <v>143</v>
      </c>
      <c r="E24" s="23" t="n">
        <v>12</v>
      </c>
      <c r="F24" s="23" t="inlineStr"/>
    </row>
    <row r="25" ht="22" customHeight="1">
      <c r="A25" s="13" t="inlineStr">
        <is>
          <t>Primo</t>
        </is>
      </c>
      <c r="B25" s="13" t="inlineStr">
        <is>
          <t>1ère fois (primo-cheminant)</t>
        </is>
      </c>
      <c r="C25" s="13" t="n">
        <v>51</v>
      </c>
      <c r="D25" s="13" t="n">
        <v>1818</v>
      </c>
      <c r="E25" s="13" t="n">
        <v>12</v>
      </c>
      <c r="F25" s="13" t="inlineStr">
        <is>
          <t>CRITIQUE modèle — 51% de flux 'entrants frais' sans comportement de retour connu</t>
        </is>
      </c>
    </row>
    <row r="26" ht="22" customHeight="1">
      <c r="A26" s="23" t="inlineStr">
        <is>
          <t>Primo</t>
        </is>
      </c>
      <c r="B26" s="23" t="inlineStr">
        <is>
          <t>Déjà pratiqué 2-5 fois</t>
        </is>
      </c>
      <c r="C26" s="23" t="n">
        <v>37</v>
      </c>
      <c r="D26" s="23" t="n">
        <v>1319</v>
      </c>
      <c r="E26" s="23" t="n">
        <v>12</v>
      </c>
      <c r="F26" s="23" t="inlineStr">
        <is>
          <t>CRITIQUE — ces 37% sont les flux de retour (multi-saisons)</t>
        </is>
      </c>
    </row>
    <row r="27" ht="22" customHeight="1">
      <c r="A27" s="13" t="inlineStr">
        <is>
          <t>Primo</t>
        </is>
      </c>
      <c r="B27" s="13" t="inlineStr">
        <is>
          <t>Déjà pratiqué 5+ fois</t>
        </is>
      </c>
      <c r="C27" s="13" t="n">
        <v>12</v>
      </c>
      <c r="D27" s="13" t="n">
        <v>428</v>
      </c>
      <c r="E27" s="13" t="n">
        <v>12</v>
      </c>
      <c r="F27" s="13" t="inlineStr">
        <is>
          <t>'Afficionados' — fidèles très engagés</t>
        </is>
      </c>
    </row>
    <row r="28" ht="22" customHeight="1">
      <c r="A28" s="23" t="inlineStr">
        <is>
          <t>Mode_groupe</t>
        </is>
      </c>
      <c r="B28" s="23" t="inlineStr">
        <is>
          <t>Seul</t>
        </is>
      </c>
      <c r="C28" s="23" t="n">
        <v>50</v>
      </c>
      <c r="D28" s="23" t="n">
        <v>1783</v>
      </c>
      <c r="E28" s="23" t="n">
        <v>12</v>
      </c>
      <c r="F28" s="23" t="inlineStr"/>
    </row>
    <row r="29" ht="22" customHeight="1">
      <c r="A29" s="13" t="inlineStr">
        <is>
          <t>Mode_groupe</t>
        </is>
      </c>
      <c r="B29" s="13" t="inlineStr">
        <is>
          <t>Entre amis</t>
        </is>
      </c>
      <c r="C29" s="13" t="n">
        <v>22</v>
      </c>
      <c r="D29" s="13" t="n">
        <v>785</v>
      </c>
      <c r="E29" s="13" t="n">
        <v>12</v>
      </c>
      <c r="F29" s="13" t="inlineStr"/>
    </row>
    <row r="30" ht="22" customHeight="1">
      <c r="A30" s="23" t="inlineStr">
        <is>
          <t>Mode_groupe</t>
        </is>
      </c>
      <c r="B30" s="23" t="inlineStr">
        <is>
          <t>En couple</t>
        </is>
      </c>
      <c r="C30" s="23" t="n">
        <v>18</v>
      </c>
      <c r="D30" s="23" t="n">
        <v>642</v>
      </c>
      <c r="E30" s="23" t="n">
        <v>12</v>
      </c>
      <c r="F30" s="23" t="inlineStr"/>
    </row>
    <row r="31" ht="22" customHeight="1">
      <c r="A31" s="13" t="inlineStr">
        <is>
          <t>Mode_groupe</t>
        </is>
      </c>
      <c r="B31" s="13" t="inlineStr">
        <is>
          <t>En famille</t>
        </is>
      </c>
      <c r="C31" s="13" t="n">
        <v>9</v>
      </c>
      <c r="D31" s="13" t="n">
        <v>321</v>
      </c>
      <c r="E31" s="13" t="n">
        <v>12</v>
      </c>
      <c r="F31" s="13" t="inlineStr"/>
    </row>
    <row r="32" ht="22" customHeight="1">
      <c r="A32" s="23" t="inlineStr">
        <is>
          <t>Mode_groupe</t>
        </is>
      </c>
      <c r="B32" s="23" t="inlineStr">
        <is>
          <t>Groupe organisé</t>
        </is>
      </c>
      <c r="C32" s="23" t="n">
        <v>1</v>
      </c>
      <c r="D32" s="23" t="n">
        <v>36</v>
      </c>
      <c r="E32" s="23" t="n">
        <v>12</v>
      </c>
      <c r="F32" s="23" t="inlineStr">
        <is>
          <t>Quasi inexistant</t>
        </is>
      </c>
    </row>
    <row r="35">
      <c r="A35" s="21" t="inlineStr">
        <is>
          <t>TYPOLOGIES COMPORTEMENTALES (5 segments — p.24-25)</t>
        </is>
      </c>
    </row>
    <row r="36" ht="28" customHeight="1">
      <c r="A36" s="22" t="inlineStr">
        <is>
          <t>typologie</t>
        </is>
      </c>
      <c r="B36" s="22" t="inlineStr">
        <is>
          <t>label</t>
        </is>
      </c>
      <c r="C36" s="22" t="inlineStr">
        <is>
          <t>pct</t>
        </is>
      </c>
      <c r="D36" s="22" t="inlineStr">
        <is>
          <t>n_estime</t>
        </is>
      </c>
      <c r="E36" s="22" t="inlineStr">
        <is>
          <t>axe_x</t>
        </is>
      </c>
      <c r="F36" s="22" t="inlineStr">
        <is>
          <t>axe_y</t>
        </is>
      </c>
      <c r="G36" s="22" t="inlineStr">
        <is>
          <t>description_courte</t>
        </is>
      </c>
      <c r="H36" s="22" t="inlineStr">
        <is>
          <t>lien_modele_compartiments</t>
        </is>
      </c>
    </row>
    <row r="37" ht="55" customHeight="1">
      <c r="A37" s="24" t="inlineStr">
        <is>
          <t>LE DEFI</t>
        </is>
      </c>
      <c r="B37" s="24" t="inlineStr">
        <is>
          <t>Les challengers</t>
        </is>
      </c>
      <c r="C37" s="24" t="n">
        <v>27</v>
      </c>
      <c r="D37" s="24" t="n">
        <v>963</v>
      </c>
      <c r="E37" s="24" t="inlineStr">
        <is>
          <t>Défi++/Organisation++</t>
        </is>
      </c>
      <c r="F37" s="24" t="inlineStr">
        <is>
          <t>Je marche seulement</t>
        </is>
      </c>
      <c r="G37" s="24" t="inlineStr">
        <is>
          <t>Besoin de se prouver quelque chose. Très concentrés sur l'objectif physique. Peu de détours.</t>
        </is>
      </c>
      <c r="H37" s="24" t="inlineStr">
        <is>
          <t>Profil à étapes courtes mais régulières. Moins susceptibles de s'arrêter en cours de route → taux de complétion élevé.</t>
        </is>
      </c>
    </row>
    <row r="38" ht="55" customHeight="1">
      <c r="A38" s="25" t="inlineStr">
        <is>
          <t>LA DECOUVERTE</t>
        </is>
      </c>
      <c r="B38" s="25" t="inlineStr">
        <is>
          <t>Les curieux</t>
        </is>
      </c>
      <c r="C38" s="25" t="n">
        <v>24</v>
      </c>
      <c r="D38" s="25" t="n">
        <v>856</v>
      </c>
      <c r="E38" s="25" t="inlineStr">
        <is>
          <t>Défi++/Organisation++</t>
        </is>
      </c>
      <c r="F38" s="25" t="inlineStr">
        <is>
          <t>Je marche et j'explore</t>
        </is>
      </c>
      <c r="G38" s="25" t="inlineStr">
        <is>
          <t>Cheminants-touristes. Utilisent le chemin pour découvrir un territoire. Fort intérêt pour les sites et monuments.</t>
        </is>
      </c>
      <c r="H38" s="25" t="inlineStr">
        <is>
          <t>Profil sectionniste probable (s'arrêtent là où c'est intéressant). Générateurs de flux stockés (reviennent section suivante N+1).</t>
        </is>
      </c>
    </row>
    <row r="39" ht="55" customHeight="1">
      <c r="A39" s="26" t="inlineStr">
        <is>
          <t>LA SPIRITUALITE</t>
        </is>
      </c>
      <c r="B39" s="26" t="inlineStr">
        <is>
          <t>L'esprit du Chemin</t>
        </is>
      </c>
      <c r="C39" s="26" t="n">
        <v>21</v>
      </c>
      <c r="D39" s="26" t="n">
        <v>749</v>
      </c>
      <c r="E39" s="26" t="inlineStr">
        <is>
          <t>Introspection++/Organisation--</t>
        </is>
      </c>
      <c r="F39" s="26" t="inlineStr">
        <is>
          <t>Je marche seulement</t>
        </is>
      </c>
      <c r="G39" s="26" t="inlineStr">
        <is>
          <t>Motivation profonde personnelle/religieuse. Découverte des territoires secondaire. Retour à l'essentiel.</t>
        </is>
      </c>
      <c r="H39" s="26" t="inlineStr">
        <is>
          <t>Profil déterminé à aller jusqu'à SJPP. Faible taux d'abandon. Peu sensible aux manques de confort.</t>
        </is>
      </c>
    </row>
    <row r="40" ht="55" customHeight="1">
      <c r="A40" s="8" t="inlineStr">
        <is>
          <t>LA TRANSITION</t>
        </is>
      </c>
      <c r="B40" s="8" t="inlineStr">
        <is>
          <t>Une étape de vie</t>
        </is>
      </c>
      <c r="C40" s="8" t="n">
        <v>17</v>
      </c>
      <c r="D40" s="8" t="n">
        <v>606</v>
      </c>
      <c r="E40" s="8" t="inlineStr">
        <is>
          <t>Introspection++/Organisation--</t>
        </is>
      </c>
      <c r="F40" s="8" t="inlineStr">
        <is>
          <t>Je marche et j'explore</t>
        </is>
      </c>
      <c r="G40" s="8" t="inlineStr">
        <is>
          <t>À un moment charnière. Besoin de passer un cap. Plaisir de la rencontre et des échanges.</t>
        </is>
      </c>
      <c r="H40" s="8" t="inlineStr">
        <is>
          <t>Profil hybride — peut s'arrêter si le besoin est satisfait avant la fin. Générateur de flux stockés.</t>
        </is>
      </c>
    </row>
    <row r="41" ht="55" customHeight="1">
      <c r="A41" s="12" t="inlineStr">
        <is>
          <t>LA PASSION</t>
        </is>
      </c>
      <c r="B41" s="12" t="inlineStr">
        <is>
          <t>Les afficionados</t>
        </is>
      </c>
      <c r="C41" s="12" t="n">
        <v>11</v>
      </c>
      <c r="D41" s="12" t="n">
        <v>392</v>
      </c>
      <c r="E41" s="12" t="inlineStr">
        <is>
          <t>Défi++/Organisation++</t>
        </is>
      </c>
      <c r="F41" s="12" t="inlineStr">
        <is>
          <t>Je marche et j'explore</t>
        </is>
      </c>
      <c r="G41" s="12" t="inlineStr">
        <is>
          <t>Habitués et grands connaisseurs. Ont déjà fait le chemin plusieurs fois. Ambassadeurs actifs.</t>
        </is>
      </c>
      <c r="H41" s="12" t="inlineStr">
        <is>
          <t>Multi-cheminants (constituent la majorité des 12% 5+ fois). Flux de retour certains, mais sur variantes ou voies différentes.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14" customWidth="1" min="4" max="4"/>
    <col width="14" customWidth="1" min="5" max="5"/>
    <col width="55" customWidth="1" min="6" max="6"/>
  </cols>
  <sheetData>
    <row r="1">
      <c r="A1" s="10" t="inlineStr">
        <is>
          <t>Notes de satisfaction /4 et formule d'impact économique — AFCC Synthèse 2021</t>
        </is>
      </c>
    </row>
    <row r="3">
      <c r="A3" s="5" t="inlineStr">
        <is>
          <t>SATISFACTION — 25 critères sur 3 thèmes (p.19-21) | Échelle : 3.5-4=bonne à très bonne / 3.0-3.4=moyenne à bonne / 2.5-2.9=plutôt mauvaise</t>
        </is>
      </c>
    </row>
    <row r="4" ht="28" customHeight="1">
      <c r="A4" s="22" t="inlineStr">
        <is>
          <t>theme</t>
        </is>
      </c>
      <c r="B4" s="22" t="inlineStr">
        <is>
          <t>critere</t>
        </is>
      </c>
      <c r="C4" s="22" t="inlineStr">
        <is>
          <t>note_sur_4</t>
        </is>
      </c>
      <c r="D4" s="22" t="inlineStr">
        <is>
          <t>norme</t>
        </is>
      </c>
      <c r="E4" s="22" t="inlineStr">
        <is>
          <t>comparaison_lot_focus</t>
        </is>
      </c>
      <c r="F4" s="22" t="inlineStr">
        <is>
          <t>notes</t>
        </is>
      </c>
    </row>
    <row r="5" ht="22" customHeight="1">
      <c r="A5" s="27" t="inlineStr">
        <is>
          <t>En chemin</t>
        </is>
      </c>
      <c r="B5" s="27" t="inlineStr">
        <is>
          <t>Beauté paysages/environnement naturel</t>
        </is>
      </c>
      <c r="C5" s="28" t="n">
        <v>3.7</v>
      </c>
      <c r="D5" s="27" t="inlineStr">
        <is>
          <t>bonne à très bonne</t>
        </is>
      </c>
      <c r="E5" s="27" t="inlineStr">
        <is>
          <t>Lot Focus: 3.49 (légèrement moins)</t>
        </is>
      </c>
      <c r="F5" s="27" t="inlineStr">
        <is>
          <t>POINT FORT MAJEUR — 1er critère satisfaction</t>
        </is>
      </c>
    </row>
    <row r="6" ht="22" customHeight="1">
      <c r="A6" s="27" t="inlineStr">
        <is>
          <t>En chemin</t>
        </is>
      </c>
      <c r="B6" s="27" t="inlineStr">
        <is>
          <t>Sécurité biens et personnes</t>
        </is>
      </c>
      <c r="C6" s="29" t="n">
        <v>3.4</v>
      </c>
      <c r="D6" s="27" t="inlineStr">
        <is>
          <t>moyenne à bonne</t>
        </is>
      </c>
      <c r="E6" s="27" t="inlineStr">
        <is>
          <t>Lot Focus: non isolé</t>
        </is>
      </c>
      <c r="F6" s="27" t="inlineStr">
        <is>
          <t>Très bien noté surtout par le public féminin</t>
        </is>
      </c>
    </row>
    <row r="7" ht="22" customHeight="1">
      <c r="A7" s="27" t="inlineStr">
        <is>
          <t>En chemin</t>
        </is>
      </c>
      <c r="B7" s="27" t="inlineStr">
        <is>
          <t>Balisage et signalétique</t>
        </is>
      </c>
      <c r="C7" s="29" t="n">
        <v>3.4</v>
      </c>
      <c r="D7" s="27" t="inlineStr">
        <is>
          <t>moyenne à bonne</t>
        </is>
      </c>
      <c r="E7" s="27" t="inlineStr">
        <is>
          <t>Lot Focus: inclus dans 3.49 sentiers</t>
        </is>
      </c>
      <c r="F7" s="27" t="inlineStr"/>
    </row>
    <row r="8" ht="22" customHeight="1">
      <c r="A8" s="27" t="inlineStr">
        <is>
          <t>En chemin</t>
        </is>
      </c>
      <c r="B8" s="27" t="inlineStr">
        <is>
          <t>Qualité et entretien des chemins</t>
        </is>
      </c>
      <c r="C8" s="29" t="n">
        <v>3.3</v>
      </c>
      <c r="D8" s="27" t="inlineStr">
        <is>
          <t>moyenne à bonne</t>
        </is>
      </c>
      <c r="E8" s="27" t="inlineStr">
        <is>
          <t>Lot Focus: 3.49 (meilleur)</t>
        </is>
      </c>
      <c r="F8" s="27" t="inlineStr"/>
    </row>
    <row r="9" ht="22" customHeight="1">
      <c r="A9" s="27" t="inlineStr">
        <is>
          <t>En chemin</t>
        </is>
      </c>
      <c r="B9" s="27" t="inlineStr">
        <is>
          <t>Cohabitation différentes pratiques (vélo, cheval)</t>
        </is>
      </c>
      <c r="C9" s="29" t="n">
        <v>3.3</v>
      </c>
      <c r="D9" s="27" t="inlineStr">
        <is>
          <t>moyenne à bonne</t>
        </is>
      </c>
      <c r="E9" s="27" t="inlineStr">
        <is>
          <t>Lot Focus: sous moyenne totale</t>
        </is>
      </c>
      <c r="F9" s="27" t="inlineStr">
        <is>
          <t>Voie du Puy problématique sur certains tronçons</t>
        </is>
      </c>
    </row>
    <row r="10" ht="22" customHeight="1">
      <c r="A10" s="27" t="inlineStr">
        <is>
          <t>En chemin</t>
        </is>
      </c>
      <c r="B10" s="27" t="inlineStr">
        <is>
          <t>Couverture réseau téléphonie mobile</t>
        </is>
      </c>
      <c r="C10" s="29" t="n">
        <v>3</v>
      </c>
      <c r="D10" s="27" t="inlineStr">
        <is>
          <t>moyenne à bonne</t>
        </is>
      </c>
      <c r="E10" s="27" t="inlineStr">
        <is>
          <t>Lot Focus: signalé comme manque</t>
        </is>
      </c>
      <c r="F10" s="27" t="inlineStr">
        <is>
          <t>Point d'insatisfaction — revendication croissante</t>
        </is>
      </c>
    </row>
    <row r="11" ht="22" customHeight="1">
      <c r="A11" s="27" t="inlineStr">
        <is>
          <t>En chemin</t>
        </is>
      </c>
      <c r="B11" s="27" t="inlineStr">
        <is>
          <t>Possibilité connexion internet</t>
        </is>
      </c>
      <c r="C11" s="29" t="n">
        <v>3</v>
      </c>
      <c r="D11" s="27" t="inlineStr">
        <is>
          <t>moyenne à bonne</t>
        </is>
      </c>
      <c r="E11" s="27" t="inlineStr">
        <is>
          <t>Lot Focus: idem</t>
        </is>
      </c>
      <c r="F11" s="27" t="inlineStr"/>
    </row>
    <row r="12" ht="22" customHeight="1">
      <c r="A12" s="27" t="inlineStr">
        <is>
          <t>En chemin</t>
        </is>
      </c>
      <c r="B12" s="27" t="inlineStr">
        <is>
          <t>Aménagements base (points eau, WC, bancs, pique-nique)</t>
        </is>
      </c>
      <c r="C12" s="30" t="n">
        <v>2.8</v>
      </c>
      <c r="D12" s="27" t="inlineStr">
        <is>
          <t>plutôt mauvaise</t>
        </is>
      </c>
      <c r="E12" s="27" t="inlineStr">
        <is>
          <t>Lot Focus: 3.0 (tendance globale)</t>
        </is>
      </c>
      <c r="F12" s="27" t="inlineStr">
        <is>
          <t>POINT FAIBLE MAJEUR — manque points d'eau Varaire-Cahors</t>
        </is>
      </c>
    </row>
    <row r="13" ht="22" customHeight="1">
      <c r="A13" s="31" t="inlineStr">
        <is>
          <t>Villes/villages</t>
        </is>
      </c>
      <c r="B13" s="31" t="inlineStr">
        <is>
          <t>Accueil populations locales</t>
        </is>
      </c>
      <c r="C13" s="29" t="n">
        <v>3.3</v>
      </c>
      <c r="D13" s="31" t="inlineStr">
        <is>
          <t>moyenne à bonne</t>
        </is>
      </c>
      <c r="E13" s="31" t="inlineStr"/>
      <c r="F13" s="31" t="inlineStr">
        <is>
          <t>Meilleur critère de ce thème</t>
        </is>
      </c>
    </row>
    <row r="14" ht="22" customHeight="1">
      <c r="A14" s="31" t="inlineStr">
        <is>
          <t>Villes/villages</t>
        </is>
      </c>
      <c r="B14" s="31" t="inlineStr">
        <is>
          <t>Diversité offre touristique</t>
        </is>
      </c>
      <c r="C14" s="29" t="n">
        <v>3.2</v>
      </c>
      <c r="D14" s="31" t="inlineStr">
        <is>
          <t>moyenne à bonne</t>
        </is>
      </c>
      <c r="E14" s="31" t="inlineStr"/>
      <c r="F14" s="31" t="inlineStr"/>
    </row>
    <row r="15" ht="22" customHeight="1">
      <c r="A15" s="31" t="inlineStr">
        <is>
          <t>Villes/villages</t>
        </is>
      </c>
      <c r="B15" s="31" t="inlineStr">
        <is>
          <t>Accès soins (pharmacie, médecin)</t>
        </is>
      </c>
      <c r="C15" s="29" t="n">
        <v>3.1</v>
      </c>
      <c r="D15" s="31" t="inlineStr">
        <is>
          <t>moyenne à bonne</t>
        </is>
      </c>
      <c r="E15" s="31" t="inlineStr"/>
      <c r="F15" s="31" t="inlineStr"/>
    </row>
    <row r="16" ht="22" customHeight="1">
      <c r="A16" s="31" t="inlineStr">
        <is>
          <t>Villes/villages</t>
        </is>
      </c>
      <c r="B16" s="31" t="inlineStr">
        <is>
          <t>Accès lieux de culte/offices religieux</t>
        </is>
      </c>
      <c r="C16" s="29" t="n">
        <v>3.1</v>
      </c>
      <c r="D16" s="31" t="inlineStr">
        <is>
          <t>moyenne à bonne</t>
        </is>
      </c>
      <c r="E16" s="31" t="inlineStr"/>
      <c r="F16" s="31" t="inlineStr"/>
    </row>
    <row r="17" ht="22" customHeight="1">
      <c r="A17" s="31" t="inlineStr">
        <is>
          <t>Villes/villages</t>
        </is>
      </c>
      <c r="B17" s="31" t="inlineStr">
        <is>
          <t>Présence banques/DAB billets</t>
        </is>
      </c>
      <c r="C17" s="29" t="n">
        <v>3</v>
      </c>
      <c r="D17" s="31" t="inlineStr">
        <is>
          <t>moyenne à bonne</t>
        </is>
      </c>
      <c r="E17" s="31" t="inlineStr"/>
      <c r="F17" s="31" t="inlineStr"/>
    </row>
    <row r="18" ht="22" customHeight="1">
      <c r="A18" s="31" t="inlineStr">
        <is>
          <t>Villes/villages</t>
        </is>
      </c>
      <c r="B18" s="31" t="inlineStr">
        <is>
          <t>Connexion internet en ville</t>
        </is>
      </c>
      <c r="C18" s="30" t="n">
        <v>2.9</v>
      </c>
      <c r="D18" s="31" t="inlineStr">
        <is>
          <t>plutôt mauvaise</t>
        </is>
      </c>
      <c r="E18" s="31" t="inlineStr"/>
      <c r="F18" s="31" t="inlineStr"/>
    </row>
    <row r="19" ht="22" customHeight="1">
      <c r="A19" s="31" t="inlineStr">
        <is>
          <t>Villes/villages</t>
        </is>
      </c>
      <c r="B19" s="31" t="inlineStr">
        <is>
          <t>Prix pratiqués</t>
        </is>
      </c>
      <c r="C19" s="30" t="n">
        <v>2.9</v>
      </c>
      <c r="D19" s="31" t="inlineStr">
        <is>
          <t>plutôt mauvaise</t>
        </is>
      </c>
      <c r="E19" s="31" t="inlineStr">
        <is>
          <t>Lot Focus: 2.86 (pire encore)</t>
        </is>
      </c>
      <c r="F19" s="31" t="inlineStr"/>
    </row>
    <row r="20" ht="22" customHeight="1">
      <c r="A20" s="31" t="inlineStr">
        <is>
          <t>Villes/villages</t>
        </is>
      </c>
      <c r="B20" s="31" t="inlineStr">
        <is>
          <t>Trouver commerces ouverts/restauration rapide</t>
        </is>
      </c>
      <c r="C20" s="30" t="n">
        <v>2.9</v>
      </c>
      <c r="D20" s="31" t="inlineStr">
        <is>
          <t>plutôt mauvaise</t>
        </is>
      </c>
      <c r="E20" s="31" t="inlineStr">
        <is>
          <t>Lot Focus: idem</t>
        </is>
      </c>
      <c r="F20" s="31" t="inlineStr">
        <is>
          <t>Point d'insatisfaction récurrent</t>
        </is>
      </c>
    </row>
    <row r="21" ht="22" customHeight="1">
      <c r="A21" s="32" t="inlineStr">
        <is>
          <t>Hébergements</t>
        </is>
      </c>
      <c r="B21" s="32" t="inlineStr">
        <is>
          <t>Accueil dans les hébergements</t>
        </is>
      </c>
      <c r="C21" s="28" t="n">
        <v>3.5</v>
      </c>
      <c r="D21" s="32" t="inlineStr">
        <is>
          <t>bonne à très bonne</t>
        </is>
      </c>
      <c r="E21" s="32" t="inlineStr"/>
      <c r="F21" s="32" t="inlineStr">
        <is>
          <t>Meilleure note de tout le bilan satisfaction</t>
        </is>
      </c>
    </row>
    <row r="22" ht="22" customHeight="1">
      <c r="A22" s="32" t="inlineStr">
        <is>
          <t>Hébergements</t>
        </is>
      </c>
      <c r="B22" s="32" t="inlineStr">
        <is>
          <t>Possibilité recharger appareils électroniques</t>
        </is>
      </c>
      <c r="C22" s="29" t="n">
        <v>3.4</v>
      </c>
      <c r="D22" s="32" t="inlineStr">
        <is>
          <t>moyenne à bonne</t>
        </is>
      </c>
      <c r="E22" s="32" t="inlineStr"/>
      <c r="F22" s="32" t="inlineStr">
        <is>
          <t>Besoin croissant (usage numérique)</t>
        </is>
      </c>
    </row>
    <row r="23" ht="22" customHeight="1">
      <c r="A23" s="32" t="inlineStr">
        <is>
          <t>Hébergements</t>
        </is>
      </c>
      <c r="B23" s="32" t="inlineStr">
        <is>
          <t>Sécurité biens et personnes (halte)</t>
        </is>
      </c>
      <c r="C23" s="29" t="n">
        <v>3.4</v>
      </c>
      <c r="D23" s="32" t="inlineStr">
        <is>
          <t>moyenne à bonne</t>
        </is>
      </c>
      <c r="E23" s="32" t="inlineStr"/>
      <c r="F23" s="32" t="inlineStr"/>
    </row>
    <row r="24" ht="22" customHeight="1">
      <c r="A24" s="32" t="inlineStr">
        <is>
          <t>Hébergements</t>
        </is>
      </c>
      <c r="B24" s="32" t="inlineStr">
        <is>
          <t>Hygiène des hébergements</t>
        </is>
      </c>
      <c r="C24" s="29" t="n">
        <v>3.2</v>
      </c>
      <c r="D24" s="32" t="inlineStr">
        <is>
          <t>moyenne à bonne</t>
        </is>
      </c>
      <c r="E24" s="32" t="inlineStr"/>
      <c r="F24" s="32" t="inlineStr"/>
    </row>
    <row r="25" ht="22" customHeight="1">
      <c r="A25" s="32" t="inlineStr">
        <is>
          <t>Hébergements</t>
        </is>
      </c>
      <c r="B25" s="32" t="inlineStr">
        <is>
          <t>Confort des hébergements</t>
        </is>
      </c>
      <c r="C25" s="29" t="n">
        <v>3.2</v>
      </c>
      <c r="D25" s="32" t="inlineStr">
        <is>
          <t>moyenne à bonne</t>
        </is>
      </c>
      <c r="E25" s="32" t="inlineStr"/>
      <c r="F25" s="32" t="inlineStr"/>
    </row>
    <row r="26" ht="22" customHeight="1">
      <c r="A26" s="32" t="inlineStr">
        <is>
          <t>Hébergements</t>
        </is>
      </c>
      <c r="B26" s="32" t="inlineStr">
        <is>
          <t>Restauration proposée</t>
        </is>
      </c>
      <c r="C26" s="29" t="n">
        <v>3.2</v>
      </c>
      <c r="D26" s="32" t="inlineStr">
        <is>
          <t>moyenne à bonne</t>
        </is>
      </c>
      <c r="E26" s="32" t="inlineStr"/>
      <c r="F26" s="32" t="inlineStr"/>
    </row>
    <row r="27" ht="22" customHeight="1">
      <c r="A27" s="32" t="inlineStr">
        <is>
          <t>Hébergements</t>
        </is>
      </c>
      <c r="B27" s="32" t="inlineStr">
        <is>
          <t>Rapport qualité/prix des hébergements</t>
        </is>
      </c>
      <c r="C27" s="29" t="n">
        <v>3.2</v>
      </c>
      <c r="D27" s="32" t="inlineStr">
        <is>
          <t>moyenne à bonne</t>
        </is>
      </c>
      <c r="E27" s="32" t="inlineStr">
        <is>
          <t>Lot Focus: 2.86 prix</t>
        </is>
      </c>
      <c r="F27" s="32" t="inlineStr"/>
    </row>
    <row r="28" ht="22" customHeight="1">
      <c r="A28" s="32" t="inlineStr">
        <is>
          <t>Hébergements</t>
        </is>
      </c>
      <c r="B28" s="32" t="inlineStr">
        <is>
          <t>Connexion internet (halte dormir)</t>
        </is>
      </c>
      <c r="C28" s="29" t="n">
        <v>3.1</v>
      </c>
      <c r="D28" s="32" t="inlineStr">
        <is>
          <t>moyenne à bonne</t>
        </is>
      </c>
      <c r="E28" s="32" t="inlineStr"/>
      <c r="F28" s="32" t="inlineStr">
        <is>
          <t>Point le moins bien noté de ce thème</t>
        </is>
      </c>
    </row>
    <row r="30">
      <c r="A30" s="33" t="inlineStr">
        <is>
          <t>Note de satisfaction globale (calculée par l'enquête)</t>
        </is>
      </c>
      <c r="C30" s="33" t="n">
        <v>3.7</v>
      </c>
      <c r="E30" s="34" t="inlineStr">
        <is>
          <t>68% 'très satisfaits' | Lot Focus: identique</t>
        </is>
      </c>
    </row>
    <row r="33">
      <c r="A33" s="21" t="inlineStr">
        <is>
          <t>FORMULE D'IMPACT ÉCONOMIQUE TERRITORIAL — F × T × D (p.18)</t>
        </is>
      </c>
    </row>
    <row r="34" ht="28" customHeight="1">
      <c r="A34" s="22" t="inlineStr">
        <is>
          <t>parametre</t>
        </is>
      </c>
      <c r="B34" s="22" t="inlineStr">
        <is>
          <t>symbole</t>
        </is>
      </c>
      <c r="C34" s="22" t="inlineStr">
        <is>
          <t>definition</t>
        </is>
      </c>
      <c r="D34" s="22" t="inlineStr">
        <is>
          <t>valeur_exemple_Lot</t>
        </is>
      </c>
      <c r="E34" s="22" t="inlineStr">
        <is>
          <t>unite_exemple</t>
        </is>
      </c>
      <c r="F34" s="22" t="inlineStr">
        <is>
          <t>source_valeur</t>
        </is>
      </c>
    </row>
    <row r="35" ht="35" customHeight="1">
      <c r="A35" s="12" t="inlineStr">
        <is>
          <t>Flux nettoyés</t>
        </is>
      </c>
      <c r="B35" s="12" t="inlineStr">
        <is>
          <t>F</t>
        </is>
      </c>
      <c r="C35" s="12" t="inlineStr">
        <is>
          <t>Passages éco-compteurs nettoyés (retrait nocturnes, aberrants, locaux)</t>
        </is>
      </c>
      <c r="D35" s="12" t="n">
        <v>13539</v>
      </c>
      <c r="E35" s="12" t="inlineStr">
        <is>
          <t>passages/an</t>
        </is>
      </c>
      <c r="F35" s="12" t="inlineStr">
        <is>
          <t>Calculé AFCC sur moyenne Figeac-Cahors (période non précisée, probablement 2019)</t>
        </is>
      </c>
    </row>
    <row r="36" ht="35" customHeight="1">
      <c r="A36" s="12" t="inlineStr">
        <is>
          <t>Durée de traversée</t>
        </is>
      </c>
      <c r="B36" s="12" t="inlineStr">
        <is>
          <t>T</t>
        </is>
      </c>
      <c r="C36" s="12" t="inlineStr">
        <is>
          <t>Nb de nuits passées dans la zone par cheminant moyen</t>
        </is>
      </c>
      <c r="D36" s="12" t="n">
        <v>5</v>
      </c>
      <c r="E36" s="12" t="inlineStr">
        <is>
          <t>nuits</t>
        </is>
      </c>
      <c r="F36" s="12" t="inlineStr">
        <is>
          <t>Calculé : ~170 km / 25.3 km/j ≈ 6.7 étapes → 5-6 nuits</t>
        </is>
      </c>
    </row>
    <row r="37" ht="35" customHeight="1">
      <c r="A37" s="12" t="inlineStr">
        <is>
          <t>Dépense par nuit</t>
        </is>
      </c>
      <c r="B37" s="12" t="inlineStr">
        <is>
          <t>D</t>
        </is>
      </c>
      <c r="C37" s="12" t="inlineStr">
        <is>
          <t>Budget quotidien moyen d'un cheminant sur cette zone</t>
        </is>
      </c>
      <c r="D37" s="12" t="n">
        <v>48.2</v>
      </c>
      <c r="E37" s="12" t="inlineStr">
        <is>
          <t>€/pers/nuit</t>
        </is>
      </c>
      <c r="F37" s="12" t="inlineStr">
        <is>
          <t>Spécifique voie du Puy (28.6€ héb + 15.6€ nourr + 4.0€ autres)</t>
        </is>
      </c>
    </row>
    <row r="38" ht="35" customHeight="1">
      <c r="A38" s="12" t="inlineStr">
        <is>
          <t>Impact économique</t>
        </is>
      </c>
      <c r="B38" s="12" t="inlineStr">
        <is>
          <t>F×T×D</t>
        </is>
      </c>
      <c r="C38" s="12" t="inlineStr">
        <is>
          <t>Retombées économiques directes sur le territoire</t>
        </is>
      </c>
      <c r="D38" s="12" t="n">
        <v>3262000</v>
      </c>
      <c r="E38" s="12" t="inlineStr">
        <is>
          <t>€/an</t>
        </is>
      </c>
      <c r="F38" s="12">
        <f> 13539 × 5 × 48.2 = 3,261,798€. Hors transport retour domicile.</f>
        <v/>
      </c>
    </row>
    <row r="39" ht="35" customHeight="1">
      <c r="A39" s="12" t="inlineStr">
        <is>
          <t>dont hébergement</t>
        </is>
      </c>
      <c r="B39" s="12" t="inlineStr"/>
      <c r="C39" s="12" t="inlineStr">
        <is>
          <t>Part hébergement de l'impact total</t>
        </is>
      </c>
      <c r="D39" s="12" t="n">
        <v>1935000</v>
      </c>
      <c r="E39" s="12" t="inlineStr">
        <is>
          <t>€/an</t>
        </is>
      </c>
      <c r="F39" s="12" t="inlineStr">
        <is>
          <t>59.3% de l'impact</t>
        </is>
      </c>
    </row>
    <row r="40" ht="35" customHeight="1">
      <c r="A40" s="12" t="inlineStr">
        <is>
          <t>dont alimentation</t>
        </is>
      </c>
      <c r="B40" s="12" t="inlineStr"/>
      <c r="C40" s="12" t="inlineStr">
        <is>
          <t>Part alimentation de l'impact total</t>
        </is>
      </c>
      <c r="D40" s="12" t="n">
        <v>1055900</v>
      </c>
      <c r="E40" s="12" t="inlineStr">
        <is>
          <t>€/an</t>
        </is>
      </c>
      <c r="F40" s="12" t="inlineStr">
        <is>
          <t>32.4% de l'impact</t>
        </is>
      </c>
    </row>
    <row r="41" ht="35" customHeight="1">
      <c r="A41" s="12" t="inlineStr">
        <is>
          <t>dont autres</t>
        </is>
      </c>
      <c r="B41" s="12" t="inlineStr"/>
      <c r="C41" s="12" t="inlineStr">
        <is>
          <t>Part autres dépenses</t>
        </is>
      </c>
      <c r="D41" s="12" t="n">
        <v>271100</v>
      </c>
      <c r="E41" s="12" t="inlineStr">
        <is>
          <t>€/an</t>
        </is>
      </c>
      <c r="F41" s="12" t="inlineStr">
        <is>
          <t>8.3% de l'impact</t>
        </is>
      </c>
    </row>
    <row r="43">
      <c r="A43" s="20" t="inlineStr">
        <is>
          <t>APPLICATION AU LOT 2024 (estimation) : Si F=Felzins nettoyé ≈ 13,500, T=5 nuits, D=48.2€ → Impact ≈ 3,254,000€/an. Avec F Felzins brut 2024=20,270 et coefficient nettoyage 0.67 → F_net≈13,581 → Impact≈3,274,000€. Ordre de grandeur cohérent avec l'exemple AFCC.</t>
        </is>
      </c>
    </row>
  </sheetData>
  <mergeCells count="1"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2026-04-19T09:21:42Z</dcterms:created>
  <dcterms:modified xmlns:dcterms="http://purl.org/dc/terms/" xmlns:xsi="http://www.w3.org/2001/XMLSchema-instance" xsi:type="dcterms:W3CDTF">2026-04-19T09:21:42Z</dcterms:modified>
</cp:coreProperties>
</file>