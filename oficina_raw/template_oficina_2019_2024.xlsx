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00_INSTRUCTIONS" sheetId="1" state="visible" r:id="rId3"/>
    <sheet name="01_par_camino" sheetId="2" state="visible" r:id="rId4"/>
    <sheet name="02_par_nationalite" sheetId="3" state="visible" r:id="rId5"/>
    <sheet name="03_biais_sjp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<sst xmlns="http://schemas.openxmlformats.org/spreadsheetml/2006/main" count="116" uniqueCount="107">
  <si>
    <t xml:space="preserve">Template de saisie manuelle - Oficina del Peregrino 2019-2024</t>
  </si>
  <si>
    <t xml:space="preserve">CONTEXTE</t>
  </si>
  <si>
    <t xml:space="preserve">Pourquoi saisie manuelle ?</t>
  </si>
  <si>
    <t xml:space="preserve">Le dashboard Oficina (https://oficinadelperegrino.com/estadisticas-2/) est un Power BI embedded depuis 2019. Extraction programmatique non viable sans accord institutionnel. Saisie manuelle = solution pragmatique pour obtenir les données essentielles au calcul du biais SJPP.</t>
  </si>
  <si>
    <t xml:space="preserve">Objectif</t>
  </si>
  <si>
    <t xml:space="preserve">Reconstituer la ventilation annuelle des arrivées à Saint-Jacques par CAMINO pour 2019-2024. La colonne critique est 'Camino Aragonés' : proxy du flux Voie d'Arles français.</t>
  </si>
  <si>
    <t xml:space="preserve">Temps estimé</t>
  </si>
  <si>
    <t xml:space="preserve">30 à 60 minutes selon niveau de détail retenu.</t>
  </si>
  <si>
    <t xml:space="preserve">MARCHE À SUIVRE</t>
  </si>
  <si>
    <t xml:space="preserve">1. Ouvrir le dashboard</t>
  </si>
  <si>
    <t xml:space="preserve">https://oficinadelperegrino.com/estadisticas-2/</t>
  </si>
  <si>
    <t xml:space="preserve">2. Naviguer dans le temps</t>
  </si>
  <si>
    <t xml:space="preserve">Utiliser les filtres/sélecteurs du dashboard Power BI pour se positionner sur une année spécifique (2019, 2020, ... 2024).</t>
  </si>
  <si>
    <t xml:space="preserve">3. Identifier la vue 'Camino'</t>
  </si>
  <si>
    <t xml:space="preserve">Le dashboard présente normalement un graphique/tableau ventilant les pèlerins par Camino emprunté.</t>
  </si>
  <si>
    <t xml:space="preserve">4. Reporter les chiffres</t>
  </si>
  <si>
    <t xml:space="preserve">Ouvrir la feuille '01_par_camino' et saisir les valeurs dans les cellules JAUNES uniquement.</t>
  </si>
  <si>
    <t xml:space="preserve">5. Optionnel - nationalités</t>
  </si>
  <si>
    <t xml:space="preserve">Si le dashboard permet, faire de même avec la feuille '02_par_nationalite'.</t>
  </si>
  <si>
    <t xml:space="preserve">6. Totaux annuels</t>
  </si>
  <si>
    <t xml:space="preserve">La feuille calcule automatiquement les totaux et les compare aux chiffres AFCC connus (colonne de contrôle).</t>
  </si>
  <si>
    <t xml:space="preserve">CONVENTIONS DE SAISIE</t>
  </si>
  <si>
    <t xml:space="preserve">Cellules JAUNES</t>
  </si>
  <si>
    <t xml:space="preserve">À remplir. Saisie numérique uniquement, sans espace ni séparateur de milliers (ex: 438307, PAS '438 307' ni '438,307').</t>
  </si>
  <si>
    <t xml:space="preserve">Cellules GRISES</t>
  </si>
  <si>
    <t xml:space="preserve">Calculs automatiques. Ne pas modifier.</t>
  </si>
  <si>
    <t xml:space="preserve">Valeur manquante</t>
  </si>
  <si>
    <t xml:space="preserve">Laisser vide plutôt que mettre 0 (sinon les totaux seront faussés).</t>
  </si>
  <si>
    <t xml:space="preserve">Valeur estimée</t>
  </si>
  <si>
    <t xml:space="preserve">Si tu dois estimer un chiffre (par exemple parce que le dashboard montre un graphique sans étiquettes), indique-le en ajoutant ~ devant (ex: ~1500).</t>
  </si>
  <si>
    <t xml:space="preserve">CONTRÔLE QUALITÉ</t>
  </si>
  <si>
    <t xml:space="preserve">Totaux AFCC connus</t>
  </si>
  <si>
    <t xml:space="preserve">La colonne 'Contrôle AFCC' affiche les totaux annuels publiés par l'Agence française. Si ta somme s'en écarte de plus de 1%, revérifie ta saisie.</t>
  </si>
  <si>
    <t xml:space="preserve">Ratios attendus</t>
  </si>
  <si>
    <t xml:space="preserve">Camino Francés représente historiquement 50-57% des arrivées. Camino Aragonés 0.5-1.5%. Si tu obtiens des ordres de grandeur très différents, alerte sur la source consultée.</t>
  </si>
  <si>
    <t xml:space="preserve">APRÈS SAISIE</t>
  </si>
  <si>
    <t xml:space="preserve">Intégration au projet</t>
  </si>
  <si>
    <t xml:space="preserve">Une fois complété, ce fichier pourra être joint au dataset consolidé comme nouvel onglet '08_oficina_manual'.</t>
  </si>
  <si>
    <t xml:space="preserve">Documentation source</t>
  </si>
  <si>
    <t xml:space="preserve">Note la date de consultation du dashboard dans la colonne 'date_consultation' pour traçabilité.</t>
  </si>
  <si>
    <t xml:space="preserve">Sauvegarde brute</t>
  </si>
  <si>
    <t xml:space="preserve">Si possible, fais une capture d'écran du dashboard au moment de la saisie et archive-la à côté du fichier.</t>
  </si>
  <si>
    <t xml:space="preserve">Camino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</si>
  <si>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</si>
  <si>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</si>
  <si>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</si>
  <si>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</si>
  <si>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</si>
  <si>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</si>
  <si>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Total 2019-2024</t>
  </si>
  <si>
    <t xml:space="preserve">Part moyenne (%)</t>
  </si>
  <si>
    <t xml:space="preserve">Remarques</t>
  </si>
  <si>
    <t xml:space="preserve">Camino Francés</t>
  </si>
  <si>
    <t xml:space="preserve">Camino Portugués</t>
  </si>
  <si>
    <t xml:space="preserve">Camino Portugués de la Costa</t>
  </si>
  <si>
    <t xml:space="preserve">Camino del Norte</t>
  </si>
  <si>
    <t xml:space="preserve">Camino Primitivo</t>
  </si>
  <si>
    <t xml:space="preserve">Camino Inglés</t>
  </si>
  <si>
    <t xml:space="preserve">Vía de la Plata</t>
  </si>
  <si>
    <t xml:space="preserve">Camino de Invierno</t>
  </si>
  <si>
    <t xml:space="preserve">Camino Aragonés</t>
  </si>
  <si>
    <t xml:space="preserve">Muxía-Finisterre</t>
  </si>
  <si>
    <t xml:space="preserve">Epílogo Finisterre</t>
  </si>
  <si>
    <t xml:space="preserve">Camino del Sureste</t>
  </si>
  <si>
    <t xml:space="preserve">Camino Olvidado</t>
  </si>
  <si>
    <t xml:space="preserve">Ruta del Mar de Arousa</t>
  </si>
  <si>
    <t xml:space="preserve">Otros caminos</t>
  </si>
  <si>
    <t xml:space="preserve">TOTAL annuel saisi</t>
  </si>
  <si>
    <t xml:space="preserve">Contrôle AFCC (référence)</t>
  </si>
  <si>
    <t xml:space="preserve">n.d.</t>
  </si>
  <si>
    <t xml:space="preserve">Écart saisie vs AFCC</t>
  </si>
  <si>
    <t xml:space="preserve">Date consultation dashboard :</t>
  </si>
  <si>
    <t xml:space="preserve">(format YYYY-MM-DD)</t>
  </si>
  <si>
    <t xml:space="preserve">Nationalité</t>
  </si>
  <si>
    <t xml:space="preserve">Total</t>
  </si>
  <si>
    <t xml:space="preserve">Espagnole</t>
  </si>
  <si>
    <t xml:space="preserve">Italienne</t>
  </si>
  <si>
    <t xml:space="preserve">Allemande</t>
  </si>
  <si>
    <t xml:space="preserve">Américaine (USA)</t>
  </si>
  <si>
    <t xml:space="preserve">Portugaise</t>
  </si>
  <si>
    <t xml:space="preserve">Française</t>
  </si>
  <si>
    <t xml:space="preserve">Anglaise (Royaume-Uni)</t>
  </si>
  <si>
    <t xml:space="preserve">Irlandaise</t>
  </si>
  <si>
    <t xml:space="preserve">Mexicaine</t>
  </si>
  <si>
    <t xml:space="preserve">Coréenne (Corée du Sud)</t>
  </si>
  <si>
    <t xml:space="preserve">Brésilienne</t>
  </si>
  <si>
    <t xml:space="preserve">Australienne</t>
  </si>
  <si>
    <t xml:space="preserve">Canadienne</t>
  </si>
  <si>
    <t xml:space="preserve">Polonaise</t>
  </si>
  <si>
    <t xml:space="preserve">Hollandaise (Pays-Bas)</t>
  </si>
  <si>
    <t xml:space="preserve">Japonaise</t>
  </si>
  <si>
    <t xml:space="preserve">Autres</t>
  </si>
  <si>
    <t xml:space="preserve">TOTAL</t>
  </si>
  <si>
    <t xml:space="preserve">Calcul du biais SJPP - Méthodologie empirique</t>
  </si>
  <si>
    <t xml:space="preserve">PRINCIPE</t>
  </si>
  <si>
    <t xml:space="preserve">Le point de comptage SJPP ne capte PAS les pèlerins partant via la Voie d'Arles + Col du Somport (Camino Aragonés).</t>
  </si>
  <si>
    <t xml:space="preserve">On estime empiriquement le taux d'invisibilité de SJPP en calculant : Aragonés / (Aragonés + Francés)</t>
  </si>
  <si>
    <t xml:space="preserve">INTERPRÉTATION</t>
  </si>
  <si>
    <t xml:space="preserve">Ce ratio indique la part de pèlerins 'français' (au sens large) qui échappent au comptage SJPP.</t>
  </si>
  <si>
    <t xml:space="preserve">Il n'est pas strictement égal au 'biais' réel car : (1) tous les pèlerins Aragonés ne viennent pas de France, (2) tous les pèlerins Francés ne passent pas par SJPP.</t>
  </si>
  <si>
    <t xml:space="preserve">C'est néanmoins un proxy beaucoup plus solide que l'estimation grossière initiale de 12%.</t>
  </si>
  <si>
    <t xml:space="preserve">Année</t>
  </si>
  <si>
    <t xml:space="preserve">Total Aragonés + Francés</t>
  </si>
  <si>
    <t xml:space="preserve">Ratio Aragonés (%)</t>
  </si>
  <si>
    <t xml:space="preserve">Biais SJPP estimé</t>
  </si>
  <si>
    <t xml:space="preserve">MOYENNE 2019-2024</t>
  </si>
  <si>
    <t xml:space="preserve">Rappel estimation initiale : 12% (non sourcée, à remplacer par la moyenne empirique ci-dessus)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</si>
</sst>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\+#,##0;\-#,##0;0"/>
    <numFmt numFmtId="167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C0000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2"/>
    </row>
    <row r="4" customFormat="false" ht="36.5" hidden="false" customHeight="false" outlineLevel="0" collapsed="false">
      <c r="A4" s="3" t="s">
        <v>2</v>
      </c>
      <c r="B4" s="4" t="s">
        <v>3</v>
      </c>
    </row>
    <row r="5" customFormat="false" ht="2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8" customFormat="false" ht="15" hidden="false" customHeight="false" outlineLevel="0" collapsed="false">
      <c r="A8" s="2" t="s">
        <v>8</v>
      </c>
      <c r="B8" s="2"/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 t="s">
        <v>15</v>
      </c>
      <c r="B12" s="4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6" customFormat="false" ht="15" hidden="false" customHeight="false" outlineLevel="0" collapsed="false">
      <c r="A16" s="2" t="s">
        <v>21</v>
      </c>
      <c r="B16" s="2"/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 t="s">
        <v>24</v>
      </c>
      <c r="B18" s="4" t="s">
        <v>25</v>
      </c>
    </row>
    <row r="19" customFormat="false" ht="15" hidden="false" customHeight="false" outlineLevel="0" collapsed="false">
      <c r="A19" s="3" t="s">
        <v>26</v>
      </c>
      <c r="B19" s="4" t="s">
        <v>27</v>
      </c>
    </row>
    <row r="20" customFormat="false" ht="25" hidden="false" customHeight="false" outlineLevel="0" collapsed="false">
      <c r="A20" s="3" t="s">
        <v>28</v>
      </c>
      <c r="B20" s="4" t="s">
        <v>29</v>
      </c>
    </row>
    <row r="22" customFormat="false" ht="15" hidden="false" customHeight="false" outlineLevel="0" collapsed="false">
      <c r="A22" s="2" t="s">
        <v>30</v>
      </c>
      <c r="B22" s="2"/>
    </row>
    <row r="23" customFormat="false" ht="25" hidden="false" customHeight="false" outlineLevel="0" collapsed="false">
      <c r="A23" s="3" t="s">
        <v>31</v>
      </c>
      <c r="B23" s="4" t="s">
        <v>32</v>
      </c>
    </row>
    <row r="24" customFormat="false" ht="25" hidden="false" customHeight="false" outlineLevel="0" collapsed="false">
      <c r="A24" s="3" t="s">
        <v>33</v>
      </c>
      <c r="B24" s="4" t="s">
        <v>34</v>
      </c>
    </row>
    <row r="26" customFormat="false" ht="15" hidden="false" customHeight="false" outlineLevel="0" collapsed="false">
      <c r="A26" s="2" t="s">
        <v>35</v>
      </c>
      <c r="B26" s="2"/>
    </row>
    <row r="27" customFormat="false" ht="15" hidden="false" customHeight="false" outlineLevel="0" collapsed="false">
      <c r="A27" s="3" t="s">
        <v>36</v>
      </c>
      <c r="B27" s="4" t="s">
        <v>37</v>
      </c>
    </row>
    <row r="28" customFormat="false" ht="15" hidden="false" customHeight="false" outlineLevel="0" collapsed="false">
      <c r="A28" s="3" t="s">
        <v>38</v>
      </c>
      <c r="B28" s="4" t="s">
        <v>39</v>
      </c>
    </row>
    <row r="29" customFormat="false" ht="15" hidden="false" customHeight="false" outlineLevel="0" collapsed="false">
      <c r="A29" s="3" t="s">
        <v>40</v>
      </c>
      <c r="B29" s="4" t="s">
        <v>41</v>
      </c>
    </row>
  </sheetData>
  <mergeCells count="6">
    <mergeCell ref="A1:B1"/>
    <mergeCell ref="A3:B3"/>
    <mergeCell ref="A8:B8"/>
    <mergeCell ref="A16:B16"/>
    <mergeCell ref="A22:B2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2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40"/>
  </cols>
  <sheetData>
    <row r="1" customFormat="false" ht="27" hidden="false" customHeight="false" outlineLevel="0" collapsed="false">
      <c r="A1" s="5" t="s">
        <v>42</v>
      </c>
      <c r="B1" s="5" t="s">
        <v>43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</row>
    <row r="2" customFormat="false" ht="15" hidden="false" customHeight="false" outlineLevel="0" collapsed="false">
      <c r="A2" s="0" t="s">
        <v>52</v>
      </c>
      <c r="B2" s="6" t="n">
        <v>189928</v>
      </c>
      <c r="C2" s="6"/>
      <c r="D2" s="6"/>
      <c r="E2" s="6"/>
      <c r="F2" s="6"/>
      <c r="G2" s="6"/>
      <c r="H2" s="7" t="n">
        <f aca="false">SUM(B2:G2)</f>
        <v>189928</v>
      </c>
      <c r="I2" s="8" t="n">
        <f aca="false">IFERROR(H2/SUM($H$2:$H$16),0)</f>
        <v>0.546435887403043</v>
      </c>
      <c r="J2" s="9"/>
    </row>
    <row r="3" customFormat="false" ht="15" hidden="false" customHeight="false" outlineLevel="0" collapsed="false">
      <c r="A3" s="0" t="s">
        <v>53</v>
      </c>
      <c r="B3" s="6" t="n">
        <v>72365</v>
      </c>
      <c r="C3" s="6"/>
      <c r="D3" s="6"/>
      <c r="E3" s="6"/>
      <c r="F3" s="6"/>
      <c r="G3" s="6"/>
      <c r="H3" s="7" t="n">
        <f aca="false">SUM(B3:G3)</f>
        <v>72365</v>
      </c>
      <c r="I3" s="8" t="n">
        <f aca="false">IFERROR(H3/SUM($H$2:$H$16),0)</f>
        <v>0.208199070131425</v>
      </c>
      <c r="J3" s="9"/>
    </row>
    <row r="4" customFormat="false" ht="15" hidden="false" customHeight="false" outlineLevel="0" collapsed="false">
      <c r="A4" s="0" t="s">
        <v>54</v>
      </c>
      <c r="B4" s="6" t="n">
        <v>22291</v>
      </c>
      <c r="C4" s="6"/>
      <c r="D4" s="6"/>
      <c r="E4" s="6"/>
      <c r="F4" s="6"/>
      <c r="G4" s="6"/>
      <c r="H4" s="7" t="n">
        <f aca="false">SUM(B4:G4)</f>
        <v>22291</v>
      </c>
      <c r="I4" s="8" t="n">
        <f aca="false">IFERROR(H4/SUM($H$2:$H$16),0)</f>
        <v>0.0641327364374986</v>
      </c>
      <c r="J4" s="9"/>
    </row>
    <row r="5" customFormat="false" ht="15" hidden="false" customHeight="false" outlineLevel="0" collapsed="false">
      <c r="A5" s="0" t="s">
        <v>55</v>
      </c>
      <c r="B5" s="6" t="n">
        <v>19021</v>
      </c>
      <c r="C5" s="6"/>
      <c r="D5" s="6"/>
      <c r="E5" s="6"/>
      <c r="F5" s="6"/>
      <c r="G5" s="6"/>
      <c r="H5" s="7" t="n">
        <f aca="false">SUM(B5:G5)</f>
        <v>19021</v>
      </c>
      <c r="I5" s="8" t="n">
        <f aca="false">IFERROR(H5/SUM($H$2:$H$16),0)</f>
        <v>0.054724722075172</v>
      </c>
      <c r="J5" s="9"/>
    </row>
    <row r="6" customFormat="false" ht="15" hidden="false" customHeight="false" outlineLevel="0" collapsed="false">
      <c r="A6" s="0" t="s">
        <v>56</v>
      </c>
      <c r="B6" s="6" t="n">
        <v>15715</v>
      </c>
      <c r="C6" s="6"/>
      <c r="D6" s="6"/>
      <c r="E6" s="6"/>
      <c r="F6" s="6"/>
      <c r="G6" s="6"/>
      <c r="H6" s="7" t="n">
        <f aca="false">SUM(B6:G6)</f>
        <v>15715</v>
      </c>
      <c r="I6" s="8" t="n">
        <f aca="false">IFERROR(H6/SUM($H$2:$H$16),0)</f>
        <v>0.0452131332428016</v>
      </c>
      <c r="J6" s="9"/>
    </row>
    <row r="7" customFormat="false" ht="15" hidden="false" customHeight="false" outlineLevel="0" collapsed="false">
      <c r="A7" s="0" t="s">
        <v>57</v>
      </c>
      <c r="B7" s="6" t="n">
        <v>15781</v>
      </c>
      <c r="C7" s="6"/>
      <c r="D7" s="6"/>
      <c r="E7" s="6"/>
      <c r="F7" s="6"/>
      <c r="G7" s="6"/>
      <c r="H7" s="7" t="n">
        <f aca="false">SUM(B7:G7)</f>
        <v>15781</v>
      </c>
      <c r="I7" s="8" t="n">
        <f aca="false">IFERROR(H7/SUM($H$2:$H$16),0)</f>
        <v>0.0454030197712155</v>
      </c>
      <c r="J7" s="9"/>
    </row>
    <row r="8" customFormat="false" ht="15" hidden="false" customHeight="false" outlineLevel="0" collapsed="false">
      <c r="A8" s="0" t="s">
        <v>58</v>
      </c>
      <c r="B8" s="6" t="n">
        <v>9198</v>
      </c>
      <c r="C8" s="6"/>
      <c r="D8" s="6"/>
      <c r="E8" s="6"/>
      <c r="F8" s="6"/>
      <c r="G8" s="6"/>
      <c r="H8" s="7" t="n">
        <f aca="false">SUM(B8:G8)</f>
        <v>9198</v>
      </c>
      <c r="I8" s="8" t="n">
        <f aca="false">IFERROR(H8/SUM($H$2:$H$16),0)</f>
        <v>0.0264632770962322</v>
      </c>
      <c r="J8" s="9"/>
    </row>
    <row r="9" customFormat="false" ht="15" hidden="false" customHeight="false" outlineLevel="0" collapsed="false">
      <c r="A9" s="0" t="s">
        <v>59</v>
      </c>
      <c r="B9" s="6" t="n">
        <v>1035</v>
      </c>
      <c r="C9" s="6"/>
      <c r="D9" s="6"/>
      <c r="E9" s="6"/>
      <c r="F9" s="6"/>
      <c r="G9" s="6"/>
      <c r="H9" s="7" t="n">
        <f aca="false">SUM(B9:G9)</f>
        <v>1035</v>
      </c>
      <c r="I9" s="8" t="n">
        <f aca="false">IFERROR(H9/SUM($H$2:$H$16),0)</f>
        <v>0.0029777660137639</v>
      </c>
      <c r="J9" s="9"/>
    </row>
    <row r="10" customFormat="false" ht="15" hidden="false" customHeight="false" outlineLevel="0" collapsed="false">
      <c r="A10" s="10" t="s">
        <v>60</v>
      </c>
      <c r="B10" s="11"/>
      <c r="C10" s="11"/>
      <c r="D10" s="11"/>
      <c r="E10" s="11"/>
      <c r="F10" s="11"/>
      <c r="G10" s="11"/>
      <c r="H10" s="12" t="n">
        <f aca="false">SUM(B10:G10)</f>
        <v>0</v>
      </c>
      <c r="I10" s="13" t="n">
        <f aca="false">IFERROR(H10/SUM($H$2:$H$16),0)</f>
        <v>0</v>
      </c>
      <c r="J10" s="14"/>
    </row>
    <row r="11" customFormat="false" ht="15" hidden="false" customHeight="false" outlineLevel="0" collapsed="false">
      <c r="A11" s="0" t="s">
        <v>61</v>
      </c>
      <c r="B11" s="6" t="n">
        <v>1548</v>
      </c>
      <c r="C11" s="6"/>
      <c r="D11" s="6"/>
      <c r="E11" s="6"/>
      <c r="F11" s="6"/>
      <c r="G11" s="6"/>
      <c r="H11" s="7" t="n">
        <f aca="false">SUM(B11:G11)</f>
        <v>1548</v>
      </c>
      <c r="I11" s="8" t="n">
        <f aca="false">IFERROR(H11/SUM($H$2:$H$16),0)</f>
        <v>0.00445370221189035</v>
      </c>
      <c r="J11" s="9"/>
    </row>
    <row r="12" customFormat="false" ht="15" hidden="false" customHeight="false" outlineLevel="0" collapsed="false">
      <c r="A12" s="0" t="s">
        <v>62</v>
      </c>
      <c r="B12" s="6"/>
      <c r="C12" s="6"/>
      <c r="D12" s="6"/>
      <c r="E12" s="6"/>
      <c r="F12" s="6"/>
      <c r="G12" s="6"/>
      <c r="H12" s="7" t="n">
        <f aca="false">SUM(B12:G12)</f>
        <v>0</v>
      </c>
      <c r="I12" s="8" t="n">
        <f aca="false">IFERROR(H12/SUM($H$2:$H$16),0)</f>
        <v>0</v>
      </c>
      <c r="J12" s="9"/>
    </row>
    <row r="13" customFormat="false" ht="15" hidden="false" customHeight="false" outlineLevel="0" collapsed="false">
      <c r="A13" s="0" t="s">
        <v>63</v>
      </c>
      <c r="B13" s="6"/>
      <c r="C13" s="6"/>
      <c r="D13" s="6"/>
      <c r="E13" s="6"/>
      <c r="F13" s="6"/>
      <c r="G13" s="6"/>
      <c r="H13" s="7" t="n">
        <f aca="false">SUM(B13:G13)</f>
        <v>0</v>
      </c>
      <c r="I13" s="8" t="n">
        <f aca="false">IFERROR(H13/SUM($H$2:$H$16),0)</f>
        <v>0</v>
      </c>
      <c r="J13" s="9"/>
    </row>
    <row r="14" customFormat="false" ht="15" hidden="false" customHeight="false" outlineLevel="0" collapsed="false">
      <c r="A14" s="0" t="s">
        <v>64</v>
      </c>
      <c r="B14" s="6"/>
      <c r="C14" s="6"/>
      <c r="D14" s="6"/>
      <c r="E14" s="6"/>
      <c r="F14" s="6"/>
      <c r="G14" s="6"/>
      <c r="H14" s="7" t="n">
        <f aca="false">SUM(B14:G14)</f>
        <v>0</v>
      </c>
      <c r="I14" s="8" t="n">
        <f aca="false">IFERROR(H14/SUM($H$2:$H$16),0)</f>
        <v>0</v>
      </c>
      <c r="J14" s="9"/>
    </row>
    <row r="15" customFormat="false" ht="15" hidden="false" customHeight="false" outlineLevel="0" collapsed="false">
      <c r="A15" s="0" t="s">
        <v>65</v>
      </c>
      <c r="B15" s="6"/>
      <c r="C15" s="6"/>
      <c r="D15" s="6"/>
      <c r="E15" s="6"/>
      <c r="F15" s="6"/>
      <c r="G15" s="6"/>
      <c r="H15" s="7" t="n">
        <f aca="false">SUM(B15:G15)</f>
        <v>0</v>
      </c>
      <c r="I15" s="8" t="n">
        <f aca="false">IFERROR(H15/SUM($H$2:$H$16),0)</f>
        <v>0</v>
      </c>
      <c r="J15" s="9"/>
    </row>
    <row r="16" customFormat="false" ht="15" hidden="false" customHeight="false" outlineLevel="0" collapsed="false">
      <c r="A16" s="0" t="s">
        <v>66</v>
      </c>
      <c r="B16" s="6" t="n">
        <v>694</v>
      </c>
      <c r="C16" s="6"/>
      <c r="D16" s="6"/>
      <c r="E16" s="6"/>
      <c r="F16" s="6"/>
      <c r="G16" s="6"/>
      <c r="H16" s="7" t="n">
        <f aca="false">SUM(B16:G16)</f>
        <v>694</v>
      </c>
      <c r="I16" s="8" t="n">
        <f aca="false">IFERROR(H16/SUM($H$2:$H$16),0)</f>
        <v>0.00199668561695859</v>
      </c>
      <c r="J16" s="9"/>
    </row>
    <row r="17" customFormat="false" ht="15" hidden="false" customHeight="false" outlineLevel="0" collapsed="false">
      <c r="A17" s="15" t="s">
        <v>67</v>
      </c>
      <c r="B17" s="16" t="n">
        <f aca="false">SUM(B2:B16)</f>
        <v>347576</v>
      </c>
      <c r="C17" s="16" t="n">
        <f aca="false">SUM(C2:C16)</f>
        <v>0</v>
      </c>
      <c r="D17" s="16" t="n">
        <f aca="false">SUM(D2:D16)</f>
        <v>0</v>
      </c>
      <c r="E17" s="16" t="n">
        <f aca="false">SUM(E2:E16)</f>
        <v>0</v>
      </c>
      <c r="F17" s="16" t="n">
        <f aca="false">SUM(F2:F16)</f>
        <v>0</v>
      </c>
      <c r="G17" s="16" t="n">
        <f aca="false">SUM(G2:G16)</f>
        <v>0</v>
      </c>
      <c r="H17" s="16" t="n">
        <f aca="false">SUM(B17:G17)</f>
        <v>347576</v>
      </c>
    </row>
    <row r="18" customFormat="false" ht="15" hidden="false" customHeight="false" outlineLevel="0" collapsed="false">
      <c r="A18" s="17" t="s">
        <v>68</v>
      </c>
      <c r="B18" s="18" t="n">
        <v>347578</v>
      </c>
      <c r="C18" s="18" t="n">
        <v>54144</v>
      </c>
      <c r="D18" s="18" t="n">
        <v>178912</v>
      </c>
      <c r="E18" s="18" t="n">
        <v>438307</v>
      </c>
      <c r="F18" s="18" t="n">
        <v>445397</v>
      </c>
      <c r="G18" s="18" t="s">
        <v>69</v>
      </c>
    </row>
    <row r="19" customFormat="false" ht="15" hidden="false" customHeight="false" outlineLevel="0" collapsed="false">
      <c r="A19" s="17" t="s">
        <v>70</v>
      </c>
      <c r="B19" s="19" t="n">
        <f aca="false">IFERROR(B17-B18, "")</f>
        <v>-2</v>
      </c>
      <c r="C19" s="19" t="n">
        <f aca="false">IFERROR(C17-C18, "")</f>
        <v>-54144</v>
      </c>
      <c r="D19" s="19" t="n">
        <f aca="false">IFERROR(D17-D18, "")</f>
        <v>-178912</v>
      </c>
      <c r="E19" s="19" t="n">
        <f aca="false">IFERROR(E17-E18, "")</f>
        <v>-438307</v>
      </c>
      <c r="F19" s="19" t="n">
        <f aca="false">IFERROR(F17-F18, "")</f>
        <v>-445397</v>
      </c>
      <c r="G19" s="19" t="str">
        <f aca="false">IFERROR(G17-G18, "")</f>
        <v/>
      </c>
    </row>
    <row r="21" customFormat="false" ht="15" hidden="false" customHeight="false" outlineLevel="0" collapsed="false">
      <c r="A21" s="20" t="s">
        <v>71</v>
      </c>
      <c r="B21" s="9"/>
      <c r="C21" s="21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2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5" t="s">
        <v>73</v>
      </c>
      <c r="B1" s="5" t="s">
        <v>43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74</v>
      </c>
      <c r="I1" s="5" t="s">
        <v>51</v>
      </c>
    </row>
    <row r="2" customFormat="false" ht="15" hidden="false" customHeight="false" outlineLevel="0" collapsed="false">
      <c r="A2" s="0" t="s">
        <v>75</v>
      </c>
      <c r="B2" s="6"/>
      <c r="C2" s="6"/>
      <c r="D2" s="6"/>
      <c r="E2" s="6"/>
      <c r="F2" s="6"/>
      <c r="G2" s="6"/>
      <c r="H2" s="7" t="n">
        <f aca="false">SUM(B2:G2)</f>
        <v>0</v>
      </c>
      <c r="I2" s="9"/>
    </row>
    <row r="3" customFormat="false" ht="15" hidden="false" customHeight="false" outlineLevel="0" collapsed="false">
      <c r="A3" s="0" t="s">
        <v>76</v>
      </c>
      <c r="B3" s="6"/>
      <c r="C3" s="6"/>
      <c r="D3" s="6"/>
      <c r="E3" s="6"/>
      <c r="F3" s="6"/>
      <c r="G3" s="6"/>
      <c r="H3" s="7" t="n">
        <f aca="false">SUM(B3:G3)</f>
        <v>0</v>
      </c>
      <c r="I3" s="9"/>
    </row>
    <row r="4" customFormat="false" ht="15" hidden="false" customHeight="false" outlineLevel="0" collapsed="false">
      <c r="A4" s="0" t="s">
        <v>77</v>
      </c>
      <c r="B4" s="6"/>
      <c r="C4" s="6"/>
      <c r="D4" s="6"/>
      <c r="E4" s="6"/>
      <c r="F4" s="6"/>
      <c r="G4" s="6"/>
      <c r="H4" s="7" t="n">
        <f aca="false">SUM(B4:G4)</f>
        <v>0</v>
      </c>
      <c r="I4" s="9"/>
    </row>
    <row r="5" customFormat="false" ht="15" hidden="false" customHeight="false" outlineLevel="0" collapsed="false">
      <c r="A5" s="0" t="s">
        <v>78</v>
      </c>
      <c r="B5" s="6"/>
      <c r="C5" s="6"/>
      <c r="D5" s="6"/>
      <c r="E5" s="6"/>
      <c r="F5" s="6"/>
      <c r="G5" s="6"/>
      <c r="H5" s="7" t="n">
        <f aca="false">SUM(B5:G5)</f>
        <v>0</v>
      </c>
      <c r="I5" s="9"/>
    </row>
    <row r="6" customFormat="false" ht="15" hidden="false" customHeight="false" outlineLevel="0" collapsed="false">
      <c r="A6" s="0" t="s">
        <v>79</v>
      </c>
      <c r="B6" s="6"/>
      <c r="C6" s="6"/>
      <c r="D6" s="6"/>
      <c r="E6" s="6"/>
      <c r="F6" s="6"/>
      <c r="G6" s="6"/>
      <c r="H6" s="7" t="n">
        <f aca="false">SUM(B6:G6)</f>
        <v>0</v>
      </c>
      <c r="I6" s="9"/>
    </row>
    <row r="7" customFormat="false" ht="15" hidden="false" customHeight="false" outlineLevel="0" collapsed="false">
      <c r="A7" s="0" t="s">
        <v>80</v>
      </c>
      <c r="B7" s="6"/>
      <c r="C7" s="6"/>
      <c r="D7" s="6"/>
      <c r="E7" s="6"/>
      <c r="F7" s="6"/>
      <c r="G7" s="6"/>
      <c r="H7" s="7" t="n">
        <f aca="false">SUM(B7:G7)</f>
        <v>0</v>
      </c>
      <c r="I7" s="9"/>
    </row>
    <row r="8" customFormat="false" ht="15" hidden="false" customHeight="false" outlineLevel="0" collapsed="false">
      <c r="A8" s="0" t="s">
        <v>81</v>
      </c>
      <c r="B8" s="6"/>
      <c r="C8" s="6"/>
      <c r="D8" s="6"/>
      <c r="E8" s="6"/>
      <c r="F8" s="6"/>
      <c r="G8" s="6"/>
      <c r="H8" s="7" t="n">
        <f aca="false">SUM(B8:G8)</f>
        <v>0</v>
      </c>
      <c r="I8" s="9"/>
    </row>
    <row r="9" customFormat="false" ht="15" hidden="false" customHeight="false" outlineLevel="0" collapsed="false">
      <c r="A9" s="0" t="s">
        <v>82</v>
      </c>
      <c r="B9" s="6"/>
      <c r="C9" s="6"/>
      <c r="D9" s="6"/>
      <c r="E9" s="6"/>
      <c r="F9" s="6"/>
      <c r="G9" s="6"/>
      <c r="H9" s="7" t="n">
        <f aca="false">SUM(B9:G9)</f>
        <v>0</v>
      </c>
      <c r="I9" s="9"/>
    </row>
    <row r="10" customFormat="false" ht="15" hidden="false" customHeight="false" outlineLevel="0" collapsed="false">
      <c r="A10" s="0" t="s">
        <v>83</v>
      </c>
      <c r="B10" s="6"/>
      <c r="C10" s="6"/>
      <c r="D10" s="6"/>
      <c r="E10" s="6"/>
      <c r="F10" s="6"/>
      <c r="G10" s="6"/>
      <c r="H10" s="7" t="n">
        <f aca="false">SUM(B10:G10)</f>
        <v>0</v>
      </c>
      <c r="I10" s="9"/>
    </row>
    <row r="11" customFormat="false" ht="15" hidden="false" customHeight="false" outlineLevel="0" collapsed="false">
      <c r="A11" s="0" t="s">
        <v>84</v>
      </c>
      <c r="B11" s="6"/>
      <c r="C11" s="6"/>
      <c r="D11" s="6"/>
      <c r="E11" s="6"/>
      <c r="F11" s="6"/>
      <c r="G11" s="6"/>
      <c r="H11" s="7" t="n">
        <f aca="false">SUM(B11:G11)</f>
        <v>0</v>
      </c>
      <c r="I11" s="9"/>
    </row>
    <row r="12" customFormat="false" ht="15" hidden="false" customHeight="false" outlineLevel="0" collapsed="false">
      <c r="A12" s="0" t="s">
        <v>85</v>
      </c>
      <c r="B12" s="6"/>
      <c r="C12" s="6"/>
      <c r="D12" s="6"/>
      <c r="E12" s="6"/>
      <c r="F12" s="6"/>
      <c r="G12" s="6"/>
      <c r="H12" s="7" t="n">
        <f aca="false">SUM(B12:G12)</f>
        <v>0</v>
      </c>
      <c r="I12" s="9"/>
    </row>
    <row r="13" customFormat="false" ht="15" hidden="false" customHeight="false" outlineLevel="0" collapsed="false">
      <c r="A13" s="0" t="s">
        <v>86</v>
      </c>
      <c r="B13" s="6"/>
      <c r="C13" s="6"/>
      <c r="D13" s="6"/>
      <c r="E13" s="6"/>
      <c r="F13" s="6"/>
      <c r="G13" s="6"/>
      <c r="H13" s="7" t="n">
        <f aca="false">SUM(B13:G13)</f>
        <v>0</v>
      </c>
      <c r="I13" s="9"/>
    </row>
    <row r="14" customFormat="false" ht="15" hidden="false" customHeight="false" outlineLevel="0" collapsed="false">
      <c r="A14" s="0" t="s">
        <v>87</v>
      </c>
      <c r="B14" s="6"/>
      <c r="C14" s="6"/>
      <c r="D14" s="6"/>
      <c r="E14" s="6"/>
      <c r="F14" s="6"/>
      <c r="G14" s="6"/>
      <c r="H14" s="7" t="n">
        <f aca="false">SUM(B14:G14)</f>
        <v>0</v>
      </c>
      <c r="I14" s="9"/>
    </row>
    <row r="15" customFormat="false" ht="15" hidden="false" customHeight="false" outlineLevel="0" collapsed="false">
      <c r="A15" s="0" t="s">
        <v>88</v>
      </c>
      <c r="B15" s="6"/>
      <c r="C15" s="6"/>
      <c r="D15" s="6"/>
      <c r="E15" s="6"/>
      <c r="F15" s="6"/>
      <c r="G15" s="6"/>
      <c r="H15" s="7" t="n">
        <f aca="false">SUM(B15:G15)</f>
        <v>0</v>
      </c>
      <c r="I15" s="9"/>
    </row>
    <row r="16" customFormat="false" ht="15" hidden="false" customHeight="false" outlineLevel="0" collapsed="false">
      <c r="A16" s="0" t="s">
        <v>89</v>
      </c>
      <c r="B16" s="6"/>
      <c r="C16" s="6"/>
      <c r="D16" s="6"/>
      <c r="E16" s="6"/>
      <c r="F16" s="6"/>
      <c r="G16" s="6"/>
      <c r="H16" s="7" t="n">
        <f aca="false">SUM(B16:G16)</f>
        <v>0</v>
      </c>
      <c r="I16" s="9"/>
    </row>
    <row r="17" customFormat="false" ht="15" hidden="false" customHeight="false" outlineLevel="0" collapsed="false">
      <c r="A17" s="0" t="s">
        <v>90</v>
      </c>
      <c r="B17" s="6"/>
      <c r="C17" s="6"/>
      <c r="D17" s="6"/>
      <c r="E17" s="6"/>
      <c r="F17" s="6"/>
      <c r="G17" s="6"/>
      <c r="H17" s="7" t="n">
        <f aca="false">SUM(B17:G17)</f>
        <v>0</v>
      </c>
      <c r="I17" s="9"/>
    </row>
    <row r="18" customFormat="false" ht="15" hidden="false" customHeight="false" outlineLevel="0" collapsed="false">
      <c r="A18" s="0" t="s">
        <v>91</v>
      </c>
      <c r="B18" s="6"/>
      <c r="C18" s="6"/>
      <c r="D18" s="6"/>
      <c r="E18" s="6"/>
      <c r="F18" s="6"/>
      <c r="G18" s="6"/>
      <c r="H18" s="7" t="n">
        <f aca="false">SUM(B18:G18)</f>
        <v>0</v>
      </c>
      <c r="I18" s="9"/>
    </row>
    <row r="19" customFormat="false" ht="15" hidden="false" customHeight="false" outlineLevel="0" collapsed="false">
      <c r="A19" s="15" t="s">
        <v>92</v>
      </c>
      <c r="B19" s="16" t="n">
        <f aca="false">SUM(B2:B18)</f>
        <v>0</v>
      </c>
      <c r="C19" s="16" t="n">
        <f aca="false">SUM(C2:C18)</f>
        <v>0</v>
      </c>
      <c r="D19" s="16" t="n">
        <f aca="false">SUM(D2:D18)</f>
        <v>0</v>
      </c>
      <c r="E19" s="16" t="n">
        <f aca="false">SUM(E2:E18)</f>
        <v>0</v>
      </c>
      <c r="F19" s="16" t="n">
        <f aca="false">SUM(F2:F18)</f>
        <v>0</v>
      </c>
      <c r="G19" s="16" t="n">
        <f aca="false">SUM(G2:G18)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8"/>
    <col collapsed="false" customWidth="true" hidden="false" outlineLevel="0" max="4" min="4" style="0" width="22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93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2"/>
      <c r="B2" s="22"/>
      <c r="C2" s="22"/>
      <c r="D2" s="22"/>
      <c r="E2" s="22"/>
      <c r="F2" s="22"/>
    </row>
    <row r="3" customFormat="false" ht="15" hidden="false" customHeight="false" outlineLevel="0" collapsed="false">
      <c r="A3" s="2" t="s">
        <v>94</v>
      </c>
      <c r="B3" s="2"/>
      <c r="C3" s="2"/>
      <c r="D3" s="2"/>
      <c r="E3" s="2"/>
      <c r="F3" s="2"/>
    </row>
    <row r="4" customFormat="false" ht="15" hidden="false" customHeight="false" outlineLevel="0" collapsed="false">
      <c r="A4" s="22" t="s">
        <v>95</v>
      </c>
      <c r="B4" s="22"/>
      <c r="C4" s="22"/>
      <c r="D4" s="22"/>
      <c r="E4" s="22"/>
      <c r="F4" s="22"/>
    </row>
    <row r="5" customFormat="false" ht="15" hidden="false" customHeight="false" outlineLevel="0" collapsed="false">
      <c r="A5" s="22" t="s">
        <v>96</v>
      </c>
      <c r="B5" s="22"/>
      <c r="C5" s="22"/>
      <c r="D5" s="22"/>
      <c r="E5" s="22"/>
      <c r="F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</row>
    <row r="7" customFormat="false" ht="15" hidden="false" customHeight="false" outlineLevel="0" collapsed="false">
      <c r="A7" s="2" t="s">
        <v>97</v>
      </c>
      <c r="B7" s="2"/>
      <c r="C7" s="2"/>
      <c r="D7" s="2"/>
      <c r="E7" s="2"/>
      <c r="F7" s="2"/>
    </row>
    <row r="8" customFormat="false" ht="15" hidden="false" customHeight="false" outlineLevel="0" collapsed="false">
      <c r="A8" s="22" t="s">
        <v>98</v>
      </c>
      <c r="B8" s="22"/>
      <c r="C8" s="22"/>
      <c r="D8" s="22"/>
      <c r="E8" s="22"/>
      <c r="F8" s="22"/>
    </row>
    <row r="9" customFormat="false" ht="15" hidden="false" customHeight="false" outlineLevel="0" collapsed="false">
      <c r="A9" s="22" t="s">
        <v>99</v>
      </c>
      <c r="B9" s="22"/>
      <c r="C9" s="22"/>
      <c r="D9" s="22"/>
      <c r="E9" s="22"/>
      <c r="F9" s="22"/>
    </row>
    <row r="10" customFormat="false" ht="15" hidden="false" customHeight="false" outlineLevel="0" collapsed="false">
      <c r="A10" s="22" t="s">
        <v>100</v>
      </c>
      <c r="B10" s="22"/>
      <c r="C10" s="22"/>
      <c r="D10" s="22"/>
      <c r="E10" s="22"/>
      <c r="F10" s="22"/>
    </row>
    <row r="12" customFormat="false" ht="27" hidden="false" customHeight="false" outlineLevel="0" collapsed="false">
      <c r="A12" s="5" t="s">
        <v>101</v>
      </c>
      <c r="B12" s="5" t="s">
        <v>60</v>
      </c>
      <c r="C12" s="5" t="s">
        <v>52</v>
      </c>
      <c r="D12" s="5" t="s">
        <v>102</v>
      </c>
      <c r="E12" s="5" t="s">
        <v>103</v>
      </c>
      <c r="F12" s="5" t="s">
        <v>104</v>
      </c>
    </row>
    <row r="13" customFormat="false" ht="15" hidden="false" customHeight="false" outlineLevel="0" collapsed="false">
      <c r="A13" s="23" t="n">
        <v>2019</v>
      </c>
      <c r="B13" s="23" t="n">
        <f aca="false">IFERROR('01_par_camino'!B10,0)</f>
        <v>0</v>
      </c>
      <c r="C13" s="23" t="n">
        <f aca="false">IFERROR('01_par_camino'!B2,0)</f>
        <v>189928</v>
      </c>
      <c r="D13" s="23" t="n">
        <f aca="false">B13+C13</f>
        <v>189928</v>
      </c>
      <c r="E13" s="24" t="n">
        <f aca="false">IFERROR(B13/D13,0)</f>
        <v>0</v>
      </c>
      <c r="F13" s="24" t="n">
        <f aca="false">IFERROR(B13/D13,0)</f>
        <v>0</v>
      </c>
    </row>
    <row r="14" customFormat="false" ht="15" hidden="false" customHeight="false" outlineLevel="0" collapsed="false">
      <c r="A14" s="23" t="n">
        <v>2020</v>
      </c>
      <c r="B14" s="23" t="n">
        <f aca="false">IFERROR('01_par_camino'!C10,0)</f>
        <v>0</v>
      </c>
      <c r="C14" s="23" t="n">
        <f aca="false">IFERROR('01_par_camino'!C2,0)</f>
        <v>0</v>
      </c>
      <c r="D14" s="23" t="n">
        <f aca="false">B14+C14</f>
        <v>0</v>
      </c>
      <c r="E14" s="24" t="n">
        <f aca="false">IFERROR(B14/D14,0)</f>
        <v>0</v>
      </c>
      <c r="F14" s="24" t="n">
        <f aca="false">IFERROR(B14/D14,0)</f>
        <v>0</v>
      </c>
    </row>
    <row r="15" customFormat="false" ht="15" hidden="false" customHeight="false" outlineLevel="0" collapsed="false">
      <c r="A15" s="23" t="n">
        <v>2021</v>
      </c>
      <c r="B15" s="23" t="n">
        <f aca="false">IFERROR('01_par_camino'!D10,0)</f>
        <v>0</v>
      </c>
      <c r="C15" s="23" t="n">
        <f aca="false">IFERROR('01_par_camino'!D2,0)</f>
        <v>0</v>
      </c>
      <c r="D15" s="23" t="n">
        <f aca="false">B15+C15</f>
        <v>0</v>
      </c>
      <c r="E15" s="24" t="n">
        <f aca="false">IFERROR(B15/D15,0)</f>
        <v>0</v>
      </c>
      <c r="F15" s="24" t="n">
        <f aca="false">IFERROR(B15/D15,0)</f>
        <v>0</v>
      </c>
    </row>
    <row r="16" customFormat="false" ht="15" hidden="false" customHeight="false" outlineLevel="0" collapsed="false">
      <c r="A16" s="23" t="n">
        <v>2022</v>
      </c>
      <c r="B16" s="23" t="n">
        <f aca="false">IFERROR('01_par_camino'!E10,0)</f>
        <v>0</v>
      </c>
      <c r="C16" s="23" t="n">
        <f aca="false">IFERROR('01_par_camino'!E2,0)</f>
        <v>0</v>
      </c>
      <c r="D16" s="23" t="n">
        <f aca="false">B16+C16</f>
        <v>0</v>
      </c>
      <c r="E16" s="24" t="n">
        <f aca="false">IFERROR(B16/D16,0)</f>
        <v>0</v>
      </c>
      <c r="F16" s="24" t="n">
        <f aca="false">IFERROR(B16/D16,0)</f>
        <v>0</v>
      </c>
    </row>
    <row r="17" customFormat="false" ht="15" hidden="false" customHeight="false" outlineLevel="0" collapsed="false">
      <c r="A17" s="23" t="n">
        <v>2023</v>
      </c>
      <c r="B17" s="23" t="n">
        <f aca="false">IFERROR('01_par_camino'!F10,0)</f>
        <v>0</v>
      </c>
      <c r="C17" s="23" t="n">
        <f aca="false">IFERROR('01_par_camino'!F2,0)</f>
        <v>0</v>
      </c>
      <c r="D17" s="23" t="n">
        <f aca="false">B17+C17</f>
        <v>0</v>
      </c>
      <c r="E17" s="24" t="n">
        <f aca="false">IFERROR(B17/D17,0)</f>
        <v>0</v>
      </c>
      <c r="F17" s="24" t="n">
        <f aca="false">IFERROR(B17/D17,0)</f>
        <v>0</v>
      </c>
    </row>
    <row r="18" customFormat="false" ht="15" hidden="false" customHeight="false" outlineLevel="0" collapsed="false">
      <c r="A18" s="23" t="n">
        <v>2024</v>
      </c>
      <c r="B18" s="23" t="n">
        <f aca="false">IFERROR('01_par_camino'!G10,0)</f>
        <v>0</v>
      </c>
      <c r="C18" s="23" t="n">
        <f aca="false">IFERROR('01_par_camino'!G2,0)</f>
        <v>0</v>
      </c>
      <c r="D18" s="23" t="n">
        <f aca="false">B18+C18</f>
        <v>0</v>
      </c>
      <c r="E18" s="24" t="n">
        <f aca="false">IFERROR(B18/D18,0)</f>
        <v>0</v>
      </c>
      <c r="F18" s="24" t="n">
        <f aca="false">IFERROR(B18/D18,0)</f>
        <v>0</v>
      </c>
    </row>
    <row r="20" customFormat="false" ht="15" hidden="false" customHeight="false" outlineLevel="0" collapsed="false">
      <c r="A20" s="15" t="s">
        <v>105</v>
      </c>
      <c r="E20" s="25" t="n">
        <f aca="false">AVERAGE(E13:E18)</f>
        <v>0</v>
      </c>
    </row>
    <row r="23" customFormat="false" ht="15" hidden="false" customHeight="false" outlineLevel="0" collapsed="false">
      <c r="A23" s="26" t="s">
        <v>106</v>
      </c>
      <c r="B23" s="26"/>
      <c r="C23" s="26"/>
      <c r="D23" s="26"/>
      <c r="E23" s="26"/>
      <c r="F23" s="26"/>
    </row>
  </sheetData>
  <mergeCells count="11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2026-04-17T08:25:02Z</dcterms:created>
  <dc:creator>openpyxl</dc:creator>
  <dc:description/>
  <dc:language>en-US</dc:language>
  <cp:lastModifiedBy/>
  <dcterms:modified xsi:type="dcterms:W3CDTF">2026-04-17T11:34:16Z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